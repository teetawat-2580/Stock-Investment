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3.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omments1.xml" ContentType="application/vnd.openxmlformats-officedocument.spreadsheetml.comments+xml"/>
  <Override PartName="/xl/drawings/drawing4.xml" ContentType="application/vnd.openxmlformats-officedocument.drawing+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4ad7ccb1417f4626/Stock/Stock tracking/"/>
    </mc:Choice>
  </mc:AlternateContent>
  <xr:revisionPtr revIDLastSave="3921" documentId="11_F25DC773A252ABDACC10483AD19954A65ADE58F2" xr6:coauthVersionLast="47" xr6:coauthVersionMax="47" xr10:uidLastSave="{FB0F5A70-4903-4897-85FC-4C65C2DED74F}"/>
  <bookViews>
    <workbookView xWindow="-108" yWindow="-108" windowWidth="23256" windowHeight="12456" firstSheet="1" activeTab="7" xr2:uid="{B6A0FBFE-00DD-4CB7-95D0-D056697650D6}"/>
  </bookViews>
  <sheets>
    <sheet name="Portfolio" sheetId="1" r:id="rId1"/>
    <sheet name="Focus list" sheetId="4" r:id="rId2"/>
    <sheet name="TTB focus" sheetId="6" r:id="rId3"/>
    <sheet name="JPM hist. focus 2" sheetId="11" r:id="rId4"/>
    <sheet name="AMZN hist. focus 2" sheetId="22" r:id="rId5"/>
    <sheet name="CRWD SA" sheetId="17" r:id="rId6"/>
    <sheet name="JPM SA" sheetId="19" r:id="rId7"/>
    <sheet name="JPM SA (Graph)" sheetId="26" r:id="rId8"/>
    <sheet name="EVENT" sheetId="13" r:id="rId9"/>
    <sheet name="EVENT link" sheetId="25" r:id="rId10"/>
    <sheet name="BAC SA" sheetId="20" r:id="rId11"/>
    <sheet name="NVDA SA" sheetId="21" r:id="rId12"/>
    <sheet name="AMZN SA" sheetId="23" r:id="rId13"/>
    <sheet name="USA Stock current detail" sheetId="14" r:id="rId14"/>
    <sheet name="log Sell and Buy" sheetId="3" r:id="rId15"/>
    <sheet name="currency" sheetId="2" r:id="rId16"/>
  </sheets>
  <definedNames>
    <definedName name="_xlnm._FilterDatabase" localSheetId="8" hidden="1">EVENT!$A$1:$F$48</definedName>
    <definedName name="_xlnm._FilterDatabase" localSheetId="9" hidden="1">'EVENT link'!$A$1:$D$80</definedName>
    <definedName name="_xlnm._FilterDatabase" localSheetId="6" hidden="1">'JPM SA (Graph)'!$A$100:$B$109</definedName>
    <definedName name="_xlnm._FilterDatabase" localSheetId="7" hidden="1">'JPM SA (Graph)'!$A$120:$B$120</definedName>
    <definedName name="_xlnm._FilterDatabase" localSheetId="14" hidden="1">'log Sell and Buy'!$A$1:$D$9</definedName>
    <definedName name="ExternalData_1" localSheetId="12" hidden="1">'AMZN SA'!$A$1:$V$45</definedName>
    <definedName name="ExternalData_1" localSheetId="10" hidden="1">'BAC SA'!$A$1:$V$39</definedName>
    <definedName name="ExternalData_1" localSheetId="5" hidden="1">'CRWD SA'!$A$1:$V$45</definedName>
    <definedName name="ExternalData_1" localSheetId="15" hidden="1">currency!$A$1:$C$51</definedName>
    <definedName name="ExternalData_1" localSheetId="6" hidden="1">'JPM SA'!$A$1:$V$41</definedName>
    <definedName name="ExternalData_1" localSheetId="11" hidden="1">'NVDA SA'!$A$1:$V$43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 i="22" l="1"/>
  <c r="N2" i="22"/>
  <c r="F2" i="14" a="1"/>
  <c r="F2" i="14" s="1"/>
  <c r="G2" i="14" a="1"/>
  <c r="G2" i="14" s="1"/>
  <c r="H2" i="14" a="1"/>
  <c r="H2" i="14" s="1"/>
  <c r="I2" i="14" a="1"/>
  <c r="I2" i="14" s="1"/>
  <c r="J2" i="14" a="1"/>
  <c r="J2" i="14" s="1"/>
  <c r="K2" i="14" a="1"/>
  <c r="K2" i="14" s="1"/>
  <c r="F3" i="14" a="1"/>
  <c r="F3" i="14" s="1"/>
  <c r="G3" i="14" a="1"/>
  <c r="G3" i="14" s="1"/>
  <c r="H3" i="14" a="1"/>
  <c r="H3" i="14" s="1"/>
  <c r="I3" i="14" a="1"/>
  <c r="I3" i="14" s="1"/>
  <c r="J3" i="14" a="1"/>
  <c r="J3" i="14"/>
  <c r="K3" i="14" a="1"/>
  <c r="K3" i="14" s="1"/>
  <c r="F4" i="14" a="1"/>
  <c r="F4" i="14" s="1"/>
  <c r="G4" i="14" a="1"/>
  <c r="G4" i="14" s="1"/>
  <c r="H4" i="14" a="1"/>
  <c r="H4" i="14" s="1"/>
  <c r="I4" i="14" a="1"/>
  <c r="I4" i="14" s="1"/>
  <c r="J4" i="14" a="1"/>
  <c r="J4" i="14"/>
  <c r="K4" i="14" a="1"/>
  <c r="K4" i="14" s="1"/>
  <c r="F5" i="14" a="1"/>
  <c r="F5" i="14" s="1"/>
  <c r="G5" i="14" a="1"/>
  <c r="G5" i="14" s="1"/>
  <c r="H5" i="14" a="1"/>
  <c r="H5" i="14" s="1"/>
  <c r="I5" i="14" a="1"/>
  <c r="I5" i="14" s="1"/>
  <c r="J5" i="14" a="1"/>
  <c r="J5" i="14"/>
  <c r="K5" i="14" a="1"/>
  <c r="K5" i="14" s="1"/>
  <c r="F6" i="14" a="1"/>
  <c r="F6" i="14" s="1"/>
  <c r="G6" i="14" a="1"/>
  <c r="G6" i="14" s="1"/>
  <c r="H6" i="14" a="1"/>
  <c r="H6" i="14" s="1"/>
  <c r="I6" i="14" a="1"/>
  <c r="I6" i="14" s="1"/>
  <c r="J6" i="14" a="1"/>
  <c r="J6" i="14"/>
  <c r="K6" i="14" a="1"/>
  <c r="K6" i="14" s="1"/>
  <c r="F7" i="14" a="1"/>
  <c r="F7" i="14" s="1"/>
  <c r="G7" i="14" a="1"/>
  <c r="G7" i="14" s="1"/>
  <c r="H7" i="14" a="1"/>
  <c r="H7" i="14" s="1"/>
  <c r="I7" i="14" a="1"/>
  <c r="I7" i="14" s="1"/>
  <c r="J7" i="14" a="1"/>
  <c r="J7" i="14"/>
  <c r="K7" i="14" a="1"/>
  <c r="K7" i="14" s="1"/>
  <c r="F8" i="14" a="1"/>
  <c r="F8" i="14" s="1"/>
  <c r="G8" i="14" a="1"/>
  <c r="G8" i="14" s="1"/>
  <c r="H8" i="14" a="1"/>
  <c r="H8" i="14" s="1"/>
  <c r="I8" i="14" a="1"/>
  <c r="I8" i="14" s="1"/>
  <c r="J8" i="14" a="1"/>
  <c r="J8" i="14"/>
  <c r="K8" i="14" a="1"/>
  <c r="K8" i="14" s="1"/>
  <c r="F9" i="14" a="1"/>
  <c r="F9" i="14" s="1"/>
  <c r="G9" i="14" a="1"/>
  <c r="G9" i="14" s="1"/>
  <c r="H9" i="14" a="1"/>
  <c r="H9" i="14" s="1"/>
  <c r="I9" i="14" a="1"/>
  <c r="I9" i="14" s="1"/>
  <c r="J9" i="14" a="1"/>
  <c r="J9" i="14"/>
  <c r="K9" i="14" a="1"/>
  <c r="K9" i="14" s="1"/>
  <c r="F10" i="14" a="1"/>
  <c r="F10" i="14" s="1"/>
  <c r="G10" i="14" a="1"/>
  <c r="G10" i="14" s="1"/>
  <c r="H10" i="14" a="1"/>
  <c r="H10" i="14" s="1"/>
  <c r="I10" i="14" a="1"/>
  <c r="I10" i="14" s="1"/>
  <c r="J10" i="14" a="1"/>
  <c r="J10" i="14"/>
  <c r="K10" i="14" a="1"/>
  <c r="K10" i="14" s="1"/>
  <c r="F11" i="14" a="1"/>
  <c r="F11" i="14" s="1"/>
  <c r="G11" i="14" a="1"/>
  <c r="G11" i="14" s="1"/>
  <c r="H11" i="14" a="1"/>
  <c r="H11" i="14" s="1"/>
  <c r="I11" i="14" a="1"/>
  <c r="I11" i="14" s="1"/>
  <c r="J11" i="14" a="1"/>
  <c r="J11" i="14"/>
  <c r="K11" i="14" a="1"/>
  <c r="K11" i="14" s="1"/>
  <c r="F12" i="14" a="1"/>
  <c r="F12" i="14" s="1"/>
  <c r="G12" i="14" a="1"/>
  <c r="G12" i="14" s="1"/>
  <c r="H12" i="14" a="1"/>
  <c r="H12" i="14" s="1"/>
  <c r="I12" i="14" a="1"/>
  <c r="I12" i="14" s="1"/>
  <c r="J12" i="14" a="1"/>
  <c r="J12" i="14"/>
  <c r="K12" i="14" a="1"/>
  <c r="K12" i="14" s="1"/>
  <c r="F13" i="14" a="1"/>
  <c r="F13" i="14" s="1"/>
  <c r="G13" i="14" a="1"/>
  <c r="G13" i="14" s="1"/>
  <c r="H13" i="14" a="1"/>
  <c r="H13" i="14" s="1"/>
  <c r="I13" i="14" a="1"/>
  <c r="I13" i="14" s="1"/>
  <c r="J13" i="14" a="1"/>
  <c r="J13" i="14"/>
  <c r="K13" i="14" a="1"/>
  <c r="K13" i="14" s="1"/>
  <c r="F14" i="14" a="1"/>
  <c r="F14" i="14" s="1"/>
  <c r="G14" i="14" a="1"/>
  <c r="G14" i="14" s="1"/>
  <c r="H14" i="14" a="1"/>
  <c r="H14" i="14" s="1"/>
  <c r="I14" i="14" a="1"/>
  <c r="I14" i="14" s="1"/>
  <c r="J14" i="14" a="1"/>
  <c r="J14" i="14"/>
  <c r="K14" i="14" a="1"/>
  <c r="K14" i="14" s="1"/>
  <c r="F15" i="14" a="1"/>
  <c r="F15" i="14" s="1"/>
  <c r="G15" i="14" a="1"/>
  <c r="G15" i="14" s="1"/>
  <c r="H15" i="14" a="1"/>
  <c r="H15" i="14" s="1"/>
  <c r="I15" i="14" a="1"/>
  <c r="I15" i="14" s="1"/>
  <c r="J15" i="14" a="1"/>
  <c r="J15" i="14"/>
  <c r="K15" i="14" a="1"/>
  <c r="K15" i="14" s="1"/>
  <c r="F16" i="14" a="1"/>
  <c r="F16" i="14" s="1"/>
  <c r="G16" i="14" a="1"/>
  <c r="G16" i="14" s="1"/>
  <c r="H16" i="14" a="1"/>
  <c r="H16" i="14" s="1"/>
  <c r="I16" i="14" a="1"/>
  <c r="I16" i="14" s="1"/>
  <c r="J16" i="14" a="1"/>
  <c r="J16" i="14"/>
  <c r="K16" i="14" a="1"/>
  <c r="K16" i="14" s="1"/>
  <c r="F17" i="14" a="1"/>
  <c r="F17" i="14" s="1"/>
  <c r="G17" i="14" a="1"/>
  <c r="G17" i="14" s="1"/>
  <c r="H17" i="14" a="1"/>
  <c r="H17" i="14" s="1"/>
  <c r="I17" i="14" a="1"/>
  <c r="I17" i="14" s="1"/>
  <c r="J17" i="14" a="1"/>
  <c r="J17" i="14"/>
  <c r="K17" i="14" a="1"/>
  <c r="K17" i="14" s="1"/>
  <c r="F18" i="14" a="1"/>
  <c r="F18" i="14" s="1"/>
  <c r="G18" i="14" a="1"/>
  <c r="G18" i="14" s="1"/>
  <c r="H18" i="14" a="1"/>
  <c r="H18" i="14" s="1"/>
  <c r="I18" i="14" a="1"/>
  <c r="I18" i="14" s="1"/>
  <c r="J18" i="14" a="1"/>
  <c r="J18" i="14" s="1"/>
  <c r="K18" i="14" a="1"/>
  <c r="K18" i="14" s="1"/>
  <c r="E2" i="14" a="1"/>
  <c r="E2" i="14" s="1"/>
  <c r="E3" i="14" a="1"/>
  <c r="E3" i="14" s="1"/>
  <c r="E4" i="14" a="1"/>
  <c r="E4" i="14" s="1"/>
  <c r="E5" i="14" a="1"/>
  <c r="E5" i="14" s="1"/>
  <c r="E6" i="14" a="1"/>
  <c r="E6" i="14" s="1"/>
  <c r="E7" i="14" a="1"/>
  <c r="E7" i="14" s="1"/>
  <c r="E8" i="14" a="1"/>
  <c r="E8" i="14" s="1"/>
  <c r="E9" i="14" a="1"/>
  <c r="E9" i="14" s="1"/>
  <c r="E10" i="14" a="1"/>
  <c r="E10" i="14" s="1"/>
  <c r="E11" i="14" a="1"/>
  <c r="E11" i="14" s="1"/>
  <c r="E12" i="14" a="1"/>
  <c r="E12" i="14" s="1"/>
  <c r="E13" i="14" a="1"/>
  <c r="E13" i="14" s="1"/>
  <c r="E14" i="14" a="1"/>
  <c r="E14" i="14" s="1"/>
  <c r="E15" i="14" a="1"/>
  <c r="E15" i="14" s="1"/>
  <c r="E16" i="14" a="1"/>
  <c r="E16" i="14" s="1"/>
  <c r="E17" i="14" a="1"/>
  <c r="E17" i="14" s="1"/>
  <c r="E18" i="14" a="1"/>
  <c r="E18" i="14" s="1"/>
  <c r="D6" i="14" a="1"/>
  <c r="D6" i="14" s="1"/>
  <c r="D18" i="14" a="1"/>
  <c r="D18" i="14" s="1"/>
  <c r="D17" i="14" a="1"/>
  <c r="D17" i="14" s="1"/>
  <c r="D16" i="14" a="1"/>
  <c r="D16" i="14" s="1"/>
  <c r="D15" i="14" a="1"/>
  <c r="D15" i="14" s="1"/>
  <c r="D14" i="14" a="1"/>
  <c r="D14" i="14" s="1"/>
  <c r="D13" i="14" a="1"/>
  <c r="D13" i="14" s="1"/>
  <c r="D12" i="14" a="1"/>
  <c r="D12" i="14" s="1"/>
  <c r="D11" i="14" a="1"/>
  <c r="D11" i="14" s="1"/>
  <c r="D10" i="14" a="1"/>
  <c r="D10" i="14" s="1"/>
  <c r="D9" i="14" a="1"/>
  <c r="D9" i="14" s="1"/>
  <c r="D8" i="14" a="1"/>
  <c r="D8" i="14" s="1"/>
  <c r="D7" i="14" a="1"/>
  <c r="D7" i="14" s="1"/>
  <c r="D5" i="14" a="1"/>
  <c r="D5" i="14" s="1"/>
  <c r="D4" i="14" a="1"/>
  <c r="D4" i="14" s="1"/>
  <c r="D3" i="14" a="1"/>
  <c r="D3" i="14" s="1"/>
  <c r="D2" i="14" a="1"/>
  <c r="D2" i="14" s="1"/>
  <c r="N3" i="11"/>
  <c r="N2" i="11"/>
  <c r="G1" i="3"/>
  <c r="C3" i="1"/>
  <c r="C9" i="1"/>
  <c r="C10" i="1"/>
  <c r="C4" i="1"/>
  <c r="C2" i="1"/>
  <c r="C8" i="1"/>
  <c r="C7" i="1"/>
  <c r="C6" i="1"/>
  <c r="C5" i="1"/>
  <c r="A1" i="11" a="1"/>
  <c r="A1" i="22" a="1"/>
  <c r="G15" i="22" l="1"/>
  <c r="G14" i="22"/>
  <c r="G13" i="22"/>
  <c r="G12" i="22"/>
  <c r="G11" i="22"/>
  <c r="G10" i="22"/>
  <c r="G9" i="22"/>
  <c r="G3" i="22"/>
  <c r="G2" i="22"/>
  <c r="G6" i="22"/>
  <c r="A1" i="22"/>
  <c r="G8" i="22"/>
  <c r="G7" i="22"/>
  <c r="G5" i="22"/>
  <c r="G4" i="22"/>
  <c r="G2" i="11"/>
  <c r="G3" i="11"/>
  <c r="G15" i="11"/>
  <c r="G4" i="11"/>
  <c r="G5" i="11"/>
  <c r="G6" i="11"/>
  <c r="G7" i="11"/>
  <c r="G8" i="11"/>
  <c r="G9" i="11"/>
  <c r="G10" i="11"/>
  <c r="G11" i="11"/>
  <c r="G12" i="11"/>
  <c r="G13" i="11"/>
  <c r="G14" i="11"/>
  <c r="A1"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F1" authorId="0" shapeId="0" xr:uid="{294F5A99-8F94-4F83-A2E1-C538A25C5FDF}">
      <text>
        <r>
          <rPr>
            <b/>
            <sz val="9"/>
            <color indexed="81"/>
            <rFont val="Tahoma"/>
            <family val="2"/>
          </rPr>
          <t>User:</t>
        </r>
        <r>
          <rPr>
            <sz val="9"/>
            <color indexed="81"/>
            <rFont val="Tahoma"/>
            <family val="2"/>
          </rPr>
          <t xml:space="preserve">
เดี๋ยวค่อยเอาค่าต่างๆมาพล๊อตตาม</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able 1" description="Connection to the 'Table 1' query in the workbook." type="5" refreshedVersion="8" background="1" saveData="1">
    <dbPr connection="Provider=Microsoft.Mashup.OleDb.1;Data Source=$Workbook$;Location=&quot;Table 1&quot;;Extended Properties=&quot;&quot;" command="SELECT * FROM [Table 1]"/>
  </connection>
  <connection id="2" xr16:uid="{79D6625F-0BE8-4B23-87D8-F3B931AF4D34}" keepAlive="1" name="Query - Table 1 (2)" description="Connection to the 'Table 1 (2)' query in the workbook." type="5" refreshedVersion="8" background="1" saveData="1">
    <dbPr connection="Provider=Microsoft.Mashup.OleDb.1;Data Source=$Workbook$;Location=&quot;Table 1 (2)&quot;;Extended Properties=&quot;&quot;" command="SELECT * FROM [Table 1 (2)]"/>
  </connection>
  <connection id="3" xr16:uid="{59322A4B-AE38-4F2D-8211-5984B318E93C}" keepAlive="1" name="Query - Table 1 (3)" description="Connection to the 'Table 1 (3)' query in the workbook." type="5" refreshedVersion="8" background="1" saveData="1">
    <dbPr connection="Provider=Microsoft.Mashup.OleDb.1;Data Source=$Workbook$;Location=&quot;Table 1 (3)&quot;;Extended Properties=&quot;&quot;" command="SELECT * FROM [Table 1 (3)]"/>
  </connection>
  <connection id="4" xr16:uid="{DE632D9A-6AB5-4ACF-8A38-4C8FD329ADB3}" keepAlive="1" name="Query - Table 1 (4)" description="Connection to the 'Table 1 (4)' query in the workbook." type="5" refreshedVersion="8" background="1" saveData="1">
    <dbPr connection="Provider=Microsoft.Mashup.OleDb.1;Data Source=$Workbook$;Location=&quot;Table 1 (4)&quot;;Extended Properties=&quot;&quot;" command="SELECT * FROM [Table 1 (4)]"/>
  </connection>
  <connection id="5" xr16:uid="{0786E114-9767-4673-B590-FB068C15C7A1}" keepAlive="1" name="Query - Table 1 (5)" description="Connection to the 'Table 1 (5)' query in the workbook." type="5" refreshedVersion="8" background="1" saveData="1">
    <dbPr connection="Provider=Microsoft.Mashup.OleDb.1;Data Source=$Workbook$;Location=&quot;Table 1 (5)&quot;;Extended Properties=&quot;&quot;" command="SELECT * FROM [Table 1 (5)]"/>
  </connection>
  <connection id="6" xr16:uid="{40DC1675-BC91-4E79-BD63-0BA22BA76CDD}" keepAlive="1" name="Query - Table 1 (6)" description="Connection to the 'Table 1 (6)' query in the workbook." type="5" refreshedVersion="8" background="1" saveData="1">
    <dbPr connection="Provider=Microsoft.Mashup.OleDb.1;Data Source=$Workbook$;Location=&quot;Table 1 (6)&quot;;Extended Properties=&quot;&quot;" command="SELECT * FROM [Table 1 (6)]"/>
  </connection>
  <connection id="7" xr16:uid="{C0150A8B-9CDC-4AAF-8720-ACE5DA1DB48A}" keepAlive="1" name="Query - Table 1 (7)" description="Connection to the 'Table 1 (7)' query in the workbook." type="5" refreshedVersion="8" background="1" saveData="1">
    <dbPr connection="Provider=Microsoft.Mashup.OleDb.1;Data Source=$Workbook$;Location=&quot;Table 1 (7)&quot;;Extended Properties=&quot;&quot;" command="SELECT * FROM [Table 1 (7)]"/>
  </connection>
  <connection id="8" xr16:uid="{14247B32-1FC1-46EE-AE23-07F58818194D}" keepAlive="1" name="Query - Table 1 (8)" description="Connection to the 'Table 1 (8)' query in the workbook." type="5" refreshedVersion="8" background="1" saveData="1">
    <dbPr connection="Provider=Microsoft.Mashup.OleDb.1;Data Source=$Workbook$;Location=&quot;Table 1 (8)&quot;;Extended Properties=&quot;&quot;" command="SELECT * FROM [Table 1 (8)]"/>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9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bk>
      <extLst>
        <ext uri="{3e2802c4-a4d2-4d8b-9148-e3be6c30e623}">
          <xlrd:rvb i="101"/>
        </ext>
      </extLst>
    </bk>
    <bk>
      <extLst>
        <ext uri="{3e2802c4-a4d2-4d8b-9148-e3be6c30e623}">
          <xlrd:rvb i="102"/>
        </ext>
      </extLst>
    </bk>
    <bk>
      <extLst>
        <ext uri="{3e2802c4-a4d2-4d8b-9148-e3be6c30e623}">
          <xlrd:rvb i="103"/>
        </ext>
      </extLst>
    </bk>
    <bk>
      <extLst>
        <ext uri="{3e2802c4-a4d2-4d8b-9148-e3be6c30e623}">
          <xlrd:rvb i="104"/>
        </ext>
      </extLst>
    </bk>
    <bk>
      <extLst>
        <ext uri="{3e2802c4-a4d2-4d8b-9148-e3be6c30e623}">
          <xlrd:rvb i="105"/>
        </ext>
      </extLst>
    </bk>
    <bk>
      <extLst>
        <ext uri="{3e2802c4-a4d2-4d8b-9148-e3be6c30e623}">
          <xlrd:rvb i="106"/>
        </ext>
      </extLst>
    </bk>
    <bk>
      <extLst>
        <ext uri="{3e2802c4-a4d2-4d8b-9148-e3be6c30e623}">
          <xlrd:rvb i="107"/>
        </ext>
      </extLst>
    </bk>
    <bk>
      <extLst>
        <ext uri="{3e2802c4-a4d2-4d8b-9148-e3be6c30e623}">
          <xlrd:rvb i="108"/>
        </ext>
      </extLst>
    </bk>
    <bk>
      <extLst>
        <ext uri="{3e2802c4-a4d2-4d8b-9148-e3be6c30e623}">
          <xlrd:rvb i="109"/>
        </ext>
      </extLst>
    </bk>
    <bk>
      <extLst>
        <ext uri="{3e2802c4-a4d2-4d8b-9148-e3be6c30e623}">
          <xlrd:rvb i="110"/>
        </ext>
      </extLst>
    </bk>
    <bk>
      <extLst>
        <ext uri="{3e2802c4-a4d2-4d8b-9148-e3be6c30e623}">
          <xlrd:rvb i="111"/>
        </ext>
      </extLst>
    </bk>
    <bk>
      <extLst>
        <ext uri="{3e2802c4-a4d2-4d8b-9148-e3be6c30e623}">
          <xlrd:rvb i="112"/>
        </ext>
      </extLst>
    </bk>
    <bk>
      <extLst>
        <ext uri="{3e2802c4-a4d2-4d8b-9148-e3be6c30e623}">
          <xlrd:rvb i="113"/>
        </ext>
      </extLst>
    </bk>
    <bk>
      <extLst>
        <ext uri="{3e2802c4-a4d2-4d8b-9148-e3be6c30e623}">
          <xlrd:rvb i="114"/>
        </ext>
      </extLst>
    </bk>
    <bk>
      <extLst>
        <ext uri="{3e2802c4-a4d2-4d8b-9148-e3be6c30e623}">
          <xlrd:rvb i="115"/>
        </ext>
      </extLst>
    </bk>
    <bk>
      <extLst>
        <ext uri="{3e2802c4-a4d2-4d8b-9148-e3be6c30e623}">
          <xlrd:rvb i="116"/>
        </ext>
      </extLst>
    </bk>
    <bk>
      <extLst>
        <ext uri="{3e2802c4-a4d2-4d8b-9148-e3be6c30e623}">
          <xlrd:rvb i="117"/>
        </ext>
      </extLst>
    </bk>
    <bk>
      <extLst>
        <ext uri="{3e2802c4-a4d2-4d8b-9148-e3be6c30e623}">
          <xlrd:rvb i="118"/>
        </ext>
      </extLst>
    </bk>
    <bk>
      <extLst>
        <ext uri="{3e2802c4-a4d2-4d8b-9148-e3be6c30e623}">
          <xlrd:rvb i="119"/>
        </ext>
      </extLst>
    </bk>
    <bk>
      <extLst>
        <ext uri="{3e2802c4-a4d2-4d8b-9148-e3be6c30e623}">
          <xlrd:rvb i="120"/>
        </ext>
      </extLst>
    </bk>
    <bk>
      <extLst>
        <ext uri="{3e2802c4-a4d2-4d8b-9148-e3be6c30e623}">
          <xlrd:rvb i="121"/>
        </ext>
      </extLst>
    </bk>
    <bk>
      <extLst>
        <ext uri="{3e2802c4-a4d2-4d8b-9148-e3be6c30e623}">
          <xlrd:rvb i="122"/>
        </ext>
      </extLst>
    </bk>
    <bk>
      <extLst>
        <ext uri="{3e2802c4-a4d2-4d8b-9148-e3be6c30e623}">
          <xlrd:rvb i="123"/>
        </ext>
      </extLst>
    </bk>
    <bk>
      <extLst>
        <ext uri="{3e2802c4-a4d2-4d8b-9148-e3be6c30e623}">
          <xlrd:rvb i="124"/>
        </ext>
      </extLst>
    </bk>
    <bk>
      <extLst>
        <ext uri="{3e2802c4-a4d2-4d8b-9148-e3be6c30e623}">
          <xlrd:rvb i="125"/>
        </ext>
      </extLst>
    </bk>
    <bk>
      <extLst>
        <ext uri="{3e2802c4-a4d2-4d8b-9148-e3be6c30e623}">
          <xlrd:rvb i="126"/>
        </ext>
      </extLst>
    </bk>
    <bk>
      <extLst>
        <ext uri="{3e2802c4-a4d2-4d8b-9148-e3be6c30e623}">
          <xlrd:rvb i="127"/>
        </ext>
      </extLst>
    </bk>
    <bk>
      <extLst>
        <ext uri="{3e2802c4-a4d2-4d8b-9148-e3be6c30e623}">
          <xlrd:rvb i="128"/>
        </ext>
      </extLst>
    </bk>
    <bk>
      <extLst>
        <ext uri="{3e2802c4-a4d2-4d8b-9148-e3be6c30e623}">
          <xlrd:rvb i="129"/>
        </ext>
      </extLst>
    </bk>
    <bk>
      <extLst>
        <ext uri="{3e2802c4-a4d2-4d8b-9148-e3be6c30e623}">
          <xlrd:rvb i="130"/>
        </ext>
      </extLst>
    </bk>
    <bk>
      <extLst>
        <ext uri="{3e2802c4-a4d2-4d8b-9148-e3be6c30e623}">
          <xlrd:rvb i="131"/>
        </ext>
      </extLst>
    </bk>
    <bk>
      <extLst>
        <ext uri="{3e2802c4-a4d2-4d8b-9148-e3be6c30e623}">
          <xlrd:rvb i="132"/>
        </ext>
      </extLst>
    </bk>
    <bk>
      <extLst>
        <ext uri="{3e2802c4-a4d2-4d8b-9148-e3be6c30e623}">
          <xlrd:rvb i="133"/>
        </ext>
      </extLst>
    </bk>
    <bk>
      <extLst>
        <ext uri="{3e2802c4-a4d2-4d8b-9148-e3be6c30e623}">
          <xlrd:rvb i="134"/>
        </ext>
      </extLst>
    </bk>
    <bk>
      <extLst>
        <ext uri="{3e2802c4-a4d2-4d8b-9148-e3be6c30e623}">
          <xlrd:rvb i="135"/>
        </ext>
      </extLst>
    </bk>
    <bk>
      <extLst>
        <ext uri="{3e2802c4-a4d2-4d8b-9148-e3be6c30e623}">
          <xlrd:rvb i="136"/>
        </ext>
      </extLst>
    </bk>
    <bk>
      <extLst>
        <ext uri="{3e2802c4-a4d2-4d8b-9148-e3be6c30e623}">
          <xlrd:rvb i="137"/>
        </ext>
      </extLst>
    </bk>
    <bk>
      <extLst>
        <ext uri="{3e2802c4-a4d2-4d8b-9148-e3be6c30e623}">
          <xlrd:rvb i="138"/>
        </ext>
      </extLst>
    </bk>
    <bk>
      <extLst>
        <ext uri="{3e2802c4-a4d2-4d8b-9148-e3be6c30e623}">
          <xlrd:rvb i="139"/>
        </ext>
      </extLst>
    </bk>
    <bk>
      <extLst>
        <ext uri="{3e2802c4-a4d2-4d8b-9148-e3be6c30e623}">
          <xlrd:rvb i="140"/>
        </ext>
      </extLst>
    </bk>
    <bk>
      <extLst>
        <ext uri="{3e2802c4-a4d2-4d8b-9148-e3be6c30e623}">
          <xlrd:rvb i="141"/>
        </ext>
      </extLst>
    </bk>
    <bk>
      <extLst>
        <ext uri="{3e2802c4-a4d2-4d8b-9148-e3be6c30e623}">
          <xlrd:rvb i="142"/>
        </ext>
      </extLst>
    </bk>
    <bk>
      <extLst>
        <ext uri="{3e2802c4-a4d2-4d8b-9148-e3be6c30e623}">
          <xlrd:rvb i="143"/>
        </ext>
      </extLst>
    </bk>
    <bk>
      <extLst>
        <ext uri="{3e2802c4-a4d2-4d8b-9148-e3be6c30e623}">
          <xlrd:rvb i="144"/>
        </ext>
      </extLst>
    </bk>
    <bk>
      <extLst>
        <ext uri="{3e2802c4-a4d2-4d8b-9148-e3be6c30e623}">
          <xlrd:rvb i="145"/>
        </ext>
      </extLst>
    </bk>
    <bk>
      <extLst>
        <ext uri="{3e2802c4-a4d2-4d8b-9148-e3be6c30e623}">
          <xlrd:rvb i="146"/>
        </ext>
      </extLst>
    </bk>
    <bk>
      <extLst>
        <ext uri="{3e2802c4-a4d2-4d8b-9148-e3be6c30e623}">
          <xlrd:rvb i="147"/>
        </ext>
      </extLst>
    </bk>
    <bk>
      <extLst>
        <ext uri="{3e2802c4-a4d2-4d8b-9148-e3be6c30e623}">
          <xlrd:rvb i="148"/>
        </ext>
      </extLst>
    </bk>
    <bk>
      <extLst>
        <ext uri="{3e2802c4-a4d2-4d8b-9148-e3be6c30e623}">
          <xlrd:rvb i="149"/>
        </ext>
      </extLst>
    </bk>
    <bk>
      <extLst>
        <ext uri="{3e2802c4-a4d2-4d8b-9148-e3be6c30e623}">
          <xlrd:rvb i="150"/>
        </ext>
      </extLst>
    </bk>
    <bk>
      <extLst>
        <ext uri="{3e2802c4-a4d2-4d8b-9148-e3be6c30e623}">
          <xlrd:rvb i="151"/>
        </ext>
      </extLst>
    </bk>
    <bk>
      <extLst>
        <ext uri="{3e2802c4-a4d2-4d8b-9148-e3be6c30e623}">
          <xlrd:rvb i="152"/>
        </ext>
      </extLst>
    </bk>
    <bk>
      <extLst>
        <ext uri="{3e2802c4-a4d2-4d8b-9148-e3be6c30e623}">
          <xlrd:rvb i="153"/>
        </ext>
      </extLst>
    </bk>
    <bk>
      <extLst>
        <ext uri="{3e2802c4-a4d2-4d8b-9148-e3be6c30e623}">
          <xlrd:rvb i="154"/>
        </ext>
      </extLst>
    </bk>
    <bk>
      <extLst>
        <ext uri="{3e2802c4-a4d2-4d8b-9148-e3be6c30e623}">
          <xlrd:rvb i="155"/>
        </ext>
      </extLst>
    </bk>
    <bk>
      <extLst>
        <ext uri="{3e2802c4-a4d2-4d8b-9148-e3be6c30e623}">
          <xlrd:rvb i="156"/>
        </ext>
      </extLst>
    </bk>
    <bk>
      <extLst>
        <ext uri="{3e2802c4-a4d2-4d8b-9148-e3be6c30e623}">
          <xlrd:rvb i="157"/>
        </ext>
      </extLst>
    </bk>
    <bk>
      <extLst>
        <ext uri="{3e2802c4-a4d2-4d8b-9148-e3be6c30e623}">
          <xlrd:rvb i="158"/>
        </ext>
      </extLst>
    </bk>
    <bk>
      <extLst>
        <ext uri="{3e2802c4-a4d2-4d8b-9148-e3be6c30e623}">
          <xlrd:rvb i="159"/>
        </ext>
      </extLst>
    </bk>
    <bk>
      <extLst>
        <ext uri="{3e2802c4-a4d2-4d8b-9148-e3be6c30e623}">
          <xlrd:rvb i="160"/>
        </ext>
      </extLst>
    </bk>
    <bk>
      <extLst>
        <ext uri="{3e2802c4-a4d2-4d8b-9148-e3be6c30e623}">
          <xlrd:rvb i="161"/>
        </ext>
      </extLst>
    </bk>
    <bk>
      <extLst>
        <ext uri="{3e2802c4-a4d2-4d8b-9148-e3be6c30e623}">
          <xlrd:rvb i="162"/>
        </ext>
      </extLst>
    </bk>
    <bk>
      <extLst>
        <ext uri="{3e2802c4-a4d2-4d8b-9148-e3be6c30e623}">
          <xlrd:rvb i="163"/>
        </ext>
      </extLst>
    </bk>
    <bk>
      <extLst>
        <ext uri="{3e2802c4-a4d2-4d8b-9148-e3be6c30e623}">
          <xlrd:rvb i="164"/>
        </ext>
      </extLst>
    </bk>
    <bk>
      <extLst>
        <ext uri="{3e2802c4-a4d2-4d8b-9148-e3be6c30e623}">
          <xlrd:rvb i="165"/>
        </ext>
      </extLst>
    </bk>
    <bk>
      <extLst>
        <ext uri="{3e2802c4-a4d2-4d8b-9148-e3be6c30e623}">
          <xlrd:rvb i="166"/>
        </ext>
      </extLst>
    </bk>
    <bk>
      <extLst>
        <ext uri="{3e2802c4-a4d2-4d8b-9148-e3be6c30e623}">
          <xlrd:rvb i="167"/>
        </ext>
      </extLst>
    </bk>
    <bk>
      <extLst>
        <ext uri="{3e2802c4-a4d2-4d8b-9148-e3be6c30e623}">
          <xlrd:rvb i="168"/>
        </ext>
      </extLst>
    </bk>
    <bk>
      <extLst>
        <ext uri="{3e2802c4-a4d2-4d8b-9148-e3be6c30e623}">
          <xlrd:rvb i="169"/>
        </ext>
      </extLst>
    </bk>
    <bk>
      <extLst>
        <ext uri="{3e2802c4-a4d2-4d8b-9148-e3be6c30e623}">
          <xlrd:rvb i="170"/>
        </ext>
      </extLst>
    </bk>
    <bk>
      <extLst>
        <ext uri="{3e2802c4-a4d2-4d8b-9148-e3be6c30e623}">
          <xlrd:rvb i="171"/>
        </ext>
      </extLst>
    </bk>
    <bk>
      <extLst>
        <ext uri="{3e2802c4-a4d2-4d8b-9148-e3be6c30e623}">
          <xlrd:rvb i="174"/>
        </ext>
      </extLst>
    </bk>
    <bk>
      <extLst>
        <ext uri="{3e2802c4-a4d2-4d8b-9148-e3be6c30e623}">
          <xlrd:rvb i="177"/>
        </ext>
      </extLst>
    </bk>
    <bk>
      <extLst>
        <ext uri="{3e2802c4-a4d2-4d8b-9148-e3be6c30e623}">
          <xlrd:rvb i="180"/>
        </ext>
      </extLst>
    </bk>
    <bk>
      <extLst>
        <ext uri="{3e2802c4-a4d2-4d8b-9148-e3be6c30e623}">
          <xlrd:rvb i="183"/>
        </ext>
      </extLst>
    </bk>
    <bk>
      <extLst>
        <ext uri="{3e2802c4-a4d2-4d8b-9148-e3be6c30e623}">
          <xlrd:rvb i="186"/>
        </ext>
      </extLst>
    </bk>
    <bk>
      <extLst>
        <ext uri="{3e2802c4-a4d2-4d8b-9148-e3be6c30e623}">
          <xlrd:rvb i="189"/>
        </ext>
      </extLst>
    </bk>
    <bk>
      <extLst>
        <ext uri="{3e2802c4-a4d2-4d8b-9148-e3be6c30e623}">
          <xlrd:rvb i="190"/>
        </ext>
      </extLst>
    </bk>
    <bk>
      <extLst>
        <ext uri="{3e2802c4-a4d2-4d8b-9148-e3be6c30e623}">
          <xlrd:rvb i="191"/>
        </ext>
      </extLst>
    </bk>
    <bk>
      <extLst>
        <ext uri="{3e2802c4-a4d2-4d8b-9148-e3be6c30e623}">
          <xlrd:rvb i="192"/>
        </ext>
      </extLst>
    </bk>
    <bk>
      <extLst>
        <ext uri="{3e2802c4-a4d2-4d8b-9148-e3be6c30e623}">
          <xlrd:rvb i="193"/>
        </ext>
      </extLst>
    </bk>
    <bk>
      <extLst>
        <ext uri="{3e2802c4-a4d2-4d8b-9148-e3be6c30e623}">
          <xlrd:rvb i="194"/>
        </ext>
      </extLst>
    </bk>
    <bk>
      <extLst>
        <ext uri="{3e2802c4-a4d2-4d8b-9148-e3be6c30e623}">
          <xlrd:rvb i="195"/>
        </ext>
      </extLst>
    </bk>
    <bk>
      <extLst>
        <ext uri="{3e2802c4-a4d2-4d8b-9148-e3be6c30e623}">
          <xlrd:rvb i="196"/>
        </ext>
      </extLst>
    </bk>
    <bk>
      <extLst>
        <ext uri="{3e2802c4-a4d2-4d8b-9148-e3be6c30e623}">
          <xlrd:rvb i="197"/>
        </ext>
      </extLst>
    </bk>
    <bk>
      <extLst>
        <ext uri="{3e2802c4-a4d2-4d8b-9148-e3be6c30e623}">
          <xlrd:rvb i="198"/>
        </ext>
      </extLst>
    </bk>
    <bk>
      <extLst>
        <ext uri="{3e2802c4-a4d2-4d8b-9148-e3be6c30e623}">
          <xlrd:rvb i="199"/>
        </ext>
      </extLst>
    </bk>
    <bk>
      <extLst>
        <ext uri="{3e2802c4-a4d2-4d8b-9148-e3be6c30e623}">
          <xlrd:rvb i="200"/>
        </ext>
      </extLst>
    </bk>
    <bk>
      <extLst>
        <ext uri="{3e2802c4-a4d2-4d8b-9148-e3be6c30e623}">
          <xlrd:rvb i="201"/>
        </ext>
      </extLst>
    </bk>
    <bk>
      <extLst>
        <ext uri="{3e2802c4-a4d2-4d8b-9148-e3be6c30e623}">
          <xlrd:rvb i="202"/>
        </ext>
      </extLst>
    </bk>
    <bk>
      <extLst>
        <ext uri="{3e2802c4-a4d2-4d8b-9148-e3be6c30e623}">
          <xlrd:rvb i="203"/>
        </ext>
      </extLst>
    </bk>
    <bk>
      <extLst>
        <ext uri="{3e2802c4-a4d2-4d8b-9148-e3be6c30e623}">
          <xlrd:rvb i="204"/>
        </ext>
      </extLst>
    </bk>
    <bk>
      <extLst>
        <ext uri="{3e2802c4-a4d2-4d8b-9148-e3be6c30e623}">
          <xlrd:rvb i="205"/>
        </ext>
      </extLst>
    </bk>
    <bk>
      <extLst>
        <ext uri="{3e2802c4-a4d2-4d8b-9148-e3be6c30e623}">
          <xlrd:rvb i="206"/>
        </ext>
      </extLst>
    </bk>
  </futureMetadata>
  <cellMetadata count="1">
    <bk>
      <rc t="1" v="0"/>
    </bk>
  </cellMetadata>
  <valueMetadata count="195">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bk>
      <rc t="2" v="101"/>
    </bk>
    <bk>
      <rc t="2" v="102"/>
    </bk>
    <bk>
      <rc t="2" v="103"/>
    </bk>
    <bk>
      <rc t="2" v="104"/>
    </bk>
    <bk>
      <rc t="2" v="105"/>
    </bk>
    <bk>
      <rc t="2" v="106"/>
    </bk>
    <bk>
      <rc t="2" v="107"/>
    </bk>
    <bk>
      <rc t="2" v="108"/>
    </bk>
    <bk>
      <rc t="2" v="109"/>
    </bk>
    <bk>
      <rc t="2" v="110"/>
    </bk>
    <bk>
      <rc t="2" v="111"/>
    </bk>
    <bk>
      <rc t="2" v="112"/>
    </bk>
    <bk>
      <rc t="2" v="113"/>
    </bk>
    <bk>
      <rc t="2" v="114"/>
    </bk>
    <bk>
      <rc t="2" v="115"/>
    </bk>
    <bk>
      <rc t="2" v="116"/>
    </bk>
    <bk>
      <rc t="2" v="117"/>
    </bk>
    <bk>
      <rc t="2" v="118"/>
    </bk>
    <bk>
      <rc t="2" v="119"/>
    </bk>
    <bk>
      <rc t="2" v="120"/>
    </bk>
    <bk>
      <rc t="2" v="121"/>
    </bk>
    <bk>
      <rc t="2" v="122"/>
    </bk>
    <bk>
      <rc t="2" v="123"/>
    </bk>
    <bk>
      <rc t="2" v="124"/>
    </bk>
    <bk>
      <rc t="2" v="125"/>
    </bk>
    <bk>
      <rc t="2" v="126"/>
    </bk>
    <bk>
      <rc t="2" v="127"/>
    </bk>
    <bk>
      <rc t="2" v="128"/>
    </bk>
    <bk>
      <rc t="2" v="129"/>
    </bk>
    <bk>
      <rc t="2" v="130"/>
    </bk>
    <bk>
      <rc t="2" v="131"/>
    </bk>
    <bk>
      <rc t="2" v="132"/>
    </bk>
    <bk>
      <rc t="2" v="133"/>
    </bk>
    <bk>
      <rc t="2" v="134"/>
    </bk>
    <bk>
      <rc t="2" v="135"/>
    </bk>
    <bk>
      <rc t="2" v="136"/>
    </bk>
    <bk>
      <rc t="2" v="137"/>
    </bk>
    <bk>
      <rc t="2" v="138"/>
    </bk>
    <bk>
      <rc t="2" v="139"/>
    </bk>
    <bk>
      <rc t="2" v="140"/>
    </bk>
    <bk>
      <rc t="2" v="141"/>
    </bk>
    <bk>
      <rc t="2" v="142"/>
    </bk>
    <bk>
      <rc t="2" v="143"/>
    </bk>
    <bk>
      <rc t="2" v="144"/>
    </bk>
    <bk>
      <rc t="2" v="145"/>
    </bk>
    <bk>
      <rc t="2" v="146"/>
    </bk>
    <bk>
      <rc t="2" v="147"/>
    </bk>
    <bk>
      <rc t="2" v="148"/>
    </bk>
    <bk>
      <rc t="2" v="149"/>
    </bk>
    <bk>
      <rc t="2" v="150"/>
    </bk>
    <bk>
      <rc t="2" v="151"/>
    </bk>
    <bk>
      <rc t="2" v="152"/>
    </bk>
    <bk>
      <rc t="2" v="153"/>
    </bk>
    <bk>
      <rc t="2" v="154"/>
    </bk>
    <bk>
      <rc t="2" v="155"/>
    </bk>
    <bk>
      <rc t="2" v="156"/>
    </bk>
    <bk>
      <rc t="2" v="157"/>
    </bk>
    <bk>
      <rc t="2" v="158"/>
    </bk>
    <bk>
      <rc t="2" v="159"/>
    </bk>
    <bk>
      <rc t="2" v="160"/>
    </bk>
    <bk>
      <rc t="2" v="161"/>
    </bk>
    <bk>
      <rc t="2" v="162"/>
    </bk>
    <bk>
      <rc t="2" v="163"/>
    </bk>
    <bk>
      <rc t="2" v="164"/>
    </bk>
    <bk>
      <rc t="2" v="165"/>
    </bk>
    <bk>
      <rc t="2" v="166"/>
    </bk>
    <bk>
      <rc t="2" v="167"/>
    </bk>
    <bk>
      <rc t="2" v="168"/>
    </bk>
    <bk>
      <rc t="2" v="169"/>
    </bk>
    <bk>
      <rc t="2" v="170"/>
    </bk>
    <bk>
      <rc t="2" v="171"/>
    </bk>
    <bk>
      <rc t="2" v="172"/>
    </bk>
    <bk>
      <rc t="2" v="173"/>
    </bk>
    <bk>
      <rc t="2" v="174"/>
    </bk>
    <bk>
      <rc t="2" v="175"/>
    </bk>
    <bk>
      <rc t="2" v="176"/>
    </bk>
    <bk>
      <rc t="2" v="177"/>
    </bk>
    <bk>
      <rc t="2" v="178"/>
    </bk>
    <bk>
      <rc t="2" v="179"/>
    </bk>
    <bk>
      <rc t="2" v="180"/>
    </bk>
    <bk>
      <rc t="2" v="181"/>
    </bk>
    <bk>
      <rc t="2" v="182"/>
    </bk>
    <bk>
      <rc t="2" v="183"/>
    </bk>
    <bk>
      <rc t="2" v="184"/>
    </bk>
    <bk>
      <rc t="2" v="185"/>
    </bk>
    <bk>
      <rc t="2" v="186"/>
    </bk>
    <bk>
      <rc t="2" v="187"/>
    </bk>
    <bk>
      <rc t="2" v="188"/>
    </bk>
    <bk>
      <rc t="2" v="189"/>
    </bk>
    <bk>
      <rc t="2" v="190"/>
    </bk>
    <bk>
      <rc t="2" v="191"/>
    </bk>
    <bk>
      <rc t="2" v="192"/>
    </bk>
    <bk>
      <rc t="2" v="193"/>
    </bk>
    <bk>
      <rc t="2" v="194"/>
    </bk>
  </valueMetadata>
</metadata>
</file>

<file path=xl/sharedStrings.xml><?xml version="1.0" encoding="utf-8"?>
<sst xmlns="http://schemas.openxmlformats.org/spreadsheetml/2006/main" count="5553" uniqueCount="3472">
  <si>
    <t>x</t>
  </si>
  <si>
    <t>remark</t>
  </si>
  <si>
    <t>streaming</t>
  </si>
  <si>
    <t>name</t>
  </si>
  <si>
    <t>Gold now</t>
  </si>
  <si>
    <t>Dime! save</t>
  </si>
  <si>
    <t>Dime! FCD</t>
  </si>
  <si>
    <t>Dime! USD</t>
  </si>
  <si>
    <t>bangkok e- saving</t>
  </si>
  <si>
    <t>update date</t>
  </si>
  <si>
    <t>GULF</t>
  </si>
  <si>
    <t>CPALL</t>
  </si>
  <si>
    <t>AMZN</t>
  </si>
  <si>
    <t>NVDA</t>
  </si>
  <si>
    <t>CRWD</t>
  </si>
  <si>
    <t>Total price THB</t>
  </si>
  <si>
    <t>US Dollar▲</t>
  </si>
  <si>
    <t>1.00 USD▲▼</t>
  </si>
  <si>
    <t>inv. 1.00 USD▲▼</t>
  </si>
  <si>
    <t>Argentine Peso</t>
  </si>
  <si>
    <t>Australian Dollar</t>
  </si>
  <si>
    <t>Bahraini Dinar</t>
  </si>
  <si>
    <t>Botswana Pula</t>
  </si>
  <si>
    <t>Brazilian Real</t>
  </si>
  <si>
    <t>British Pound</t>
  </si>
  <si>
    <t>Bruneian Dollar</t>
  </si>
  <si>
    <t>Canadian Dollar</t>
  </si>
  <si>
    <t>Chilean Peso</t>
  </si>
  <si>
    <t>Chinese Yuan Renminbi</t>
  </si>
  <si>
    <t>Colombian Peso</t>
  </si>
  <si>
    <t>Czech Koruna</t>
  </si>
  <si>
    <t>Danish Krone</t>
  </si>
  <si>
    <t>Emirati Dirham</t>
  </si>
  <si>
    <t>Euro</t>
  </si>
  <si>
    <t>Hong Kong Dollar</t>
  </si>
  <si>
    <t>Hungarian Forint</t>
  </si>
  <si>
    <t>Icelandic Krona</t>
  </si>
  <si>
    <t>Indian Rupee</t>
  </si>
  <si>
    <t>Indonesian Rupiah</t>
  </si>
  <si>
    <t>Iranian Rial</t>
  </si>
  <si>
    <t>Israeli Shekel</t>
  </si>
  <si>
    <t>Japanese Yen</t>
  </si>
  <si>
    <t>Kazakhstani Tenge</t>
  </si>
  <si>
    <t>Kuwaiti Dinar</t>
  </si>
  <si>
    <t>Libyan Dinar</t>
  </si>
  <si>
    <t>Malaysian Ringgit</t>
  </si>
  <si>
    <t>Mauritian Rupee</t>
  </si>
  <si>
    <t>Mexican Peso</t>
  </si>
  <si>
    <t>Nepalese Rupee</t>
  </si>
  <si>
    <t>New Zealand Dollar</t>
  </si>
  <si>
    <t>Norwegian Krone</t>
  </si>
  <si>
    <t>Omani Rial</t>
  </si>
  <si>
    <t>Pakistani Rupee</t>
  </si>
  <si>
    <t>Philippine Peso</t>
  </si>
  <si>
    <t>Polish Zloty</t>
  </si>
  <si>
    <t>Qatari Riyal</t>
  </si>
  <si>
    <t>Romanian New Leu</t>
  </si>
  <si>
    <t>Russian Ruble</t>
  </si>
  <si>
    <t>Saudi Arabian Riyal</t>
  </si>
  <si>
    <t>Singapore Dollar</t>
  </si>
  <si>
    <t>South African Rand</t>
  </si>
  <si>
    <t>South Korean Won</t>
  </si>
  <si>
    <t>Sri Lankan Rupee</t>
  </si>
  <si>
    <t>Swedish Krona</t>
  </si>
  <si>
    <t>Swiss Franc</t>
  </si>
  <si>
    <t>Taiwan New Dollar</t>
  </si>
  <si>
    <t>Thai Baht</t>
  </si>
  <si>
    <t>Trinidadian Dollar</t>
  </si>
  <si>
    <t>Turkish Lira</t>
  </si>
  <si>
    <t>Port%</t>
  </si>
  <si>
    <t>treasury stock</t>
  </si>
  <si>
    <t>dvd y%</t>
  </si>
  <si>
    <t>a</t>
  </si>
  <si>
    <t>b</t>
  </si>
  <si>
    <t>c</t>
  </si>
  <si>
    <t>d</t>
  </si>
  <si>
    <t>treasury list</t>
  </si>
  <si>
    <t>TTB</t>
  </si>
  <si>
    <t>Group</t>
  </si>
  <si>
    <t>inspect only</t>
  </si>
  <si>
    <t>VAYU1</t>
  </si>
  <si>
    <t>CSCO06</t>
  </si>
  <si>
    <t>Dvd scoop</t>
  </si>
  <si>
    <t>Dvd announce date</t>
  </si>
  <si>
    <t>Name</t>
  </si>
  <si>
    <t>date</t>
  </si>
  <si>
    <t>Price</t>
  </si>
  <si>
    <t>today date</t>
  </si>
  <si>
    <t>[Next] Financial Statements Announcement date</t>
  </si>
  <si>
    <t>[Current] Financial Statements Announcement date</t>
  </si>
  <si>
    <t>T-1</t>
  </si>
  <si>
    <t>T</t>
  </si>
  <si>
    <t>T+1</t>
  </si>
  <si>
    <t>T+2</t>
  </si>
  <si>
    <t>T+3</t>
  </si>
  <si>
    <t>T-2</t>
  </si>
  <si>
    <t>T-0</t>
  </si>
  <si>
    <t>T+4</t>
  </si>
  <si>
    <t>JPM</t>
  </si>
  <si>
    <t>XD date</t>
  </si>
  <si>
    <t>VZ</t>
  </si>
  <si>
    <t>US</t>
  </si>
  <si>
    <t xml:space="preserve">interest condition </t>
  </si>
  <si>
    <r>
      <t>วงเงินไม่เกิน 1 ล้านบาท:</t>
    </r>
    <r>
      <rPr>
        <sz val="11"/>
        <color theme="1"/>
        <rFont val="Calibri"/>
        <family val="2"/>
        <scheme val="minor"/>
      </rPr>
      <t xml:space="preserve"> รับดอกเบี้ย </t>
    </r>
    <r>
      <rPr>
        <b/>
        <sz val="11"/>
        <color theme="1"/>
        <rFont val="Calibri"/>
        <family val="2"/>
        <scheme val="minor"/>
      </rPr>
      <t>1.35% ต่อปี</t>
    </r>
  </si>
  <si>
    <r>
      <t>ส่วนที่ไม่เกิน 10,000 บาท:</t>
    </r>
    <r>
      <rPr>
        <sz val="11"/>
        <color theme="1"/>
        <rFont val="Calibri"/>
        <family val="2"/>
        <scheme val="minor"/>
      </rPr>
      <t xml:space="preserve"> รับดอกเบี้ยสูงถึง </t>
    </r>
    <r>
      <rPr>
        <b/>
        <sz val="11"/>
        <color theme="1"/>
        <rFont val="Calibri"/>
        <family val="2"/>
        <scheme val="minor"/>
      </rPr>
      <t>3.00% ต่อปี</t>
    </r>
  </si>
  <si>
    <r>
      <t>ส่วนที่ไม่เกิน 3,000 USD</t>
    </r>
    <r>
      <rPr>
        <sz val="11"/>
        <color theme="1"/>
        <rFont val="Calibri"/>
        <family val="2"/>
        <scheme val="minor"/>
      </rPr>
      <t xml:space="preserve"> (ประมาณ 1 แสนบาท): รับดอกเบี้ยสูงปรี๊ด </t>
    </r>
    <r>
      <rPr>
        <b/>
        <sz val="11"/>
        <color theme="1"/>
        <rFont val="Calibri"/>
        <family val="2"/>
        <scheme val="minor"/>
      </rPr>
      <t>5.00% ต่อปี</t>
    </r>
  </si>
  <si>
    <t>Buy the dip</t>
  </si>
  <si>
    <t>Earnings Date (วันประกาศผลประกอบการ)</t>
  </si>
  <si>
    <t>Financial Statements Filing Date (วันส่งงบฉบับเต็ม)</t>
  </si>
  <si>
    <t>Remark</t>
  </si>
  <si>
    <t>Event</t>
  </si>
  <si>
    <t>Date event</t>
  </si>
  <si>
    <t>Stock</t>
  </si>
  <si>
    <t>XD Date</t>
  </si>
  <si>
    <t>T±10</t>
  </si>
  <si>
    <t>Focus date</t>
  </si>
  <si>
    <t>Quote</t>
  </si>
  <si>
    <t>Gap of O and L</t>
  </si>
  <si>
    <t>USD GOLD TRADE (โดยฮั่วเซ่งเฮง x SCB/BBL)</t>
  </si>
  <si>
    <t>ส่วนที่ไม่เกิน 10,000 USD	0.05%	เป็นอัตราดอกเบี้ยปกติ
ส่วนที่เกิน 10,000 - 50,000 USD	4.00%	ดอกเบี้ยพิเศษ (3.95% + 0.05%)</t>
  </si>
  <si>
    <r>
      <t>streaming ถอนขั้นต่ำ:</t>
    </r>
    <r>
      <rPr>
        <sz val="11"/>
        <color theme="1"/>
        <rFont val="Calibri"/>
        <family val="2"/>
        <scheme val="minor"/>
      </rPr>
      <t xml:space="preserve"> </t>
    </r>
    <r>
      <rPr>
        <b/>
        <sz val="11"/>
        <color theme="1"/>
        <rFont val="Calibri"/>
        <family val="2"/>
        <scheme val="minor"/>
      </rPr>
      <t>5,000 บาท</t>
    </r>
    <r>
      <rPr>
        <sz val="11"/>
        <color theme="1"/>
        <rFont val="Calibri"/>
        <family val="2"/>
        <scheme val="minor"/>
      </rPr>
      <t xml:space="preserve"> ต่อรายการ</t>
    </r>
  </si>
  <si>
    <t>Buy and hold</t>
  </si>
  <si>
    <t>swing trade</t>
  </si>
  <si>
    <t>ข้อมูลที่ต้องการ</t>
  </si>
  <si>
    <t>P/E Ratio</t>
  </si>
  <si>
    <t>Market Cap</t>
  </si>
  <si>
    <t>หมวดหมู่</t>
  </si>
  <si>
    <t>ประโยชน์ในการลงทุน</t>
  </si>
  <si>
    <t>ความคุ้มค่า (Valuation)</t>
  </si>
  <si>
    <t>ดูว่าราคาแพงกี่เท่าของกำไร</t>
  </si>
  <si>
    <t>P/BV Ratio</t>
  </si>
  <si>
    <t>ดูราคาเทียบกับมูลค่าทางบัญชี (หุ้นธนาคารนิยมใช้)</t>
  </si>
  <si>
    <t>P/S Ratio</t>
  </si>
  <si>
    <t>ราคาเทียบยอดขาย (ใช้กับหุ้นที่ยังไม่มีกำไร)</t>
  </si>
  <si>
    <t>ขนาดของบริษัท (ใหญ่/กลาง/เล็ก)</t>
  </si>
  <si>
    <t>ผลตอบแทน (Returns)</t>
  </si>
  <si>
    <t>ปันผล (%)</t>
  </si>
  <si>
    <t>เปรียบเทียบเงินปันผลกับราคาหุ้น</t>
  </si>
  <si>
    <t>กำไรต่อหุ้น (EPS)</t>
  </si>
  <si>
    <t>กำไรสุทธิที่หารเฉลี่ยมาให้แต่ละหุ้นแล้ว</t>
  </si>
  <si>
    <t>เงินปันผลต่อหุ้น</t>
  </si>
  <si>
    <t>จำนวนเงินสดที่จ่ายปันผลล่าสุด</t>
  </si>
  <si>
    <t>ราคาและความเสี่ยง</t>
  </si>
  <si>
    <t>ราคาปัจจุบัน</t>
  </si>
  <si>
    <t>ราคาล่าสุดที่ระบบดึงได้</t>
  </si>
  <si>
    <t>ค่า Beta</t>
  </si>
  <si>
    <t>ความซิ่งเทียบกับตลาด (&gt;1 ซิ่งมาก, &lt;1 นิ่งกว่าตลาด)</t>
  </si>
  <si>
    <t>ราคาสูงสุด 52 สัปดาห์</t>
  </si>
  <si>
    <t>ดูว่าราคาตอนนี้ใกล้จุดสูงสุดในรอบปีไหม</t>
  </si>
  <si>
    <t>ราคาต่ำสุด 52 สัปดาห์</t>
  </si>
  <si>
    <t>ดูว่าราคาลงมาลึกแค่ไหนในรอบปี</t>
  </si>
  <si>
    <t>สภาพคล่อง (Liquidity)</t>
  </si>
  <si>
    <t>Volume</t>
  </si>
  <si>
    <t>จำนวนหุ้นที่มีการซื้อขายในวันนั้น</t>
  </si>
  <si>
    <t>Volume เฉลี่ย</t>
  </si>
  <si>
    <t>ดูว่าการซื้อขายวันนี้คึกคักผิดปกติหรือไม่</t>
  </si>
  <si>
    <t>Shares Outstanding</t>
  </si>
  <si>
    <t>จำนวนหุ้นจดทะเบียนทั้งหมด</t>
  </si>
  <si>
    <t>ข้อมูลทั่วไป</t>
  </si>
  <si>
    <t>ชื่อเต็มบริษัท</t>
  </si>
  <si>
    <t>เชื่อเต็มของกิจการ</t>
  </si>
  <si>
    <t>ตลาดที่เทรด</t>
  </si>
  <si>
    <t>เช่น SET, NASDAQ, NYSE</t>
  </si>
  <si>
    <t>รายละเอียดธุรกิจ</t>
  </si>
  <si>
    <t>อ่านสั้นๆ ว่าบริษัทนี้ทำมาหากินอะไร</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</si>
  <si>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</si>
  <si>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</si>
  <si>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</si>
  <si>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</si>
  <si>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</si>
  <si>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</si>
  <si>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</si>
  <si>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</si>
  <si>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</si>
  <si>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</si>
  <si>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</si>
  <si>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</si>
  <si>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</si>
  <si>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</si>
  <si>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</si>
  <si>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</si>
  <si>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</si>
  <si>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</si>
  <si>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</si>
  <si>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</si>
  <si>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</si>
  <si>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</si>
  <si>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Fiscal Quarter</t>
  </si>
  <si>
    <t>Q3 2026</t>
  </si>
  <si>
    <t>Q2 2026</t>
  </si>
  <si>
    <t>Q1 2026</t>
  </si>
  <si>
    <t>Q4 2025</t>
  </si>
  <si>
    <t>Q3 2025</t>
  </si>
  <si>
    <t>Q2 2025</t>
  </si>
  <si>
    <t>Q1 2025</t>
  </si>
  <si>
    <t>Q4 2024</t>
  </si>
  <si>
    <t>Q3 2024</t>
  </si>
  <si>
    <t>Q2 2024</t>
  </si>
  <si>
    <t>Q1 2024</t>
  </si>
  <si>
    <t>Q4 2023</t>
  </si>
  <si>
    <t>Q3 2023</t>
  </si>
  <si>
    <t>Q2 2023</t>
  </si>
  <si>
    <t>Q1 2023</t>
  </si>
  <si>
    <t>Q4 2022</t>
  </si>
  <si>
    <t>Q3 2022</t>
  </si>
  <si>
    <t>Q2 2022</t>
  </si>
  <si>
    <t>Q1 2022</t>
  </si>
  <si>
    <t>Q4 2021</t>
  </si>
  <si>
    <t>+12 Quarters</t>
  </si>
  <si>
    <t>Period Ending</t>
  </si>
  <si>
    <t>Oct '25 Oct 31, 2025</t>
  </si>
  <si>
    <t>Jul '25 Jul 31, 2025</t>
  </si>
  <si>
    <t>Apr '25 Apr 30, 2025</t>
  </si>
  <si>
    <t>Jan '25 Jan 31, 2025</t>
  </si>
  <si>
    <t>Oct '24 Oct 31, 2024</t>
  </si>
  <si>
    <t>Jul '24 Jul 31, 2024</t>
  </si>
  <si>
    <t>Apr '24 Apr 30, 2024</t>
  </si>
  <si>
    <t>Jan '24 Jan 31, 2024</t>
  </si>
  <si>
    <t>Oct '23 Oct 31, 2023</t>
  </si>
  <si>
    <t>Jul '23 Jul 31, 2023</t>
  </si>
  <si>
    <t>Apr '23 Apr 30, 2023</t>
  </si>
  <si>
    <t>Jan '23 Jan 31, 2023</t>
  </si>
  <si>
    <t>Oct '22 Oct 31, 2022</t>
  </si>
  <si>
    <t>Jul '22 Jul 31, 2022</t>
  </si>
  <si>
    <t>Apr '22 Apr 30, 2022</t>
  </si>
  <si>
    <t>Jan '22 Jan 31, 2022</t>
  </si>
  <si>
    <t>Oct '21 Oct 31, 2021</t>
  </si>
  <si>
    <t>Jul '21 Jul 31, 2021</t>
  </si>
  <si>
    <t>Apr '21 Apr 30, 2021</t>
  </si>
  <si>
    <t>Jan '21 Jan 31, 2021</t>
  </si>
  <si>
    <t>Revenue</t>
  </si>
  <si>
    <t>1,234</t>
  </si>
  <si>
    <t>1,169</t>
  </si>
  <si>
    <t>1,103</t>
  </si>
  <si>
    <t>1,059</t>
  </si>
  <si>
    <t>1,010</t>
  </si>
  <si>
    <t>963.87</t>
  </si>
  <si>
    <t>921.04</t>
  </si>
  <si>
    <t>845.34</t>
  </si>
  <si>
    <t>786.01</t>
  </si>
  <si>
    <t>731.63</t>
  </si>
  <si>
    <t>692.58</t>
  </si>
  <si>
    <t>637.37</t>
  </si>
  <si>
    <t>580.88</t>
  </si>
  <si>
    <t>535.15</t>
  </si>
  <si>
    <t>487.83</t>
  </si>
  <si>
    <t>431.01</t>
  </si>
  <si>
    <t>380.05</t>
  </si>
  <si>
    <t>337.69</t>
  </si>
  <si>
    <t>302.84</t>
  </si>
  <si>
    <t>264.93</t>
  </si>
  <si>
    <t>Upgrade</t>
  </si>
  <si>
    <t>Revenue Growth (YoY)</t>
  </si>
  <si>
    <t>22.18%</t>
  </si>
  <si>
    <t>21.28%</t>
  </si>
  <si>
    <t>19.80%</t>
  </si>
  <si>
    <t>25.22%</t>
  </si>
  <si>
    <t>28.52%</t>
  </si>
  <si>
    <t>31.74%</t>
  </si>
  <si>
    <t>32.99%</t>
  </si>
  <si>
    <t>32.63%</t>
  </si>
  <si>
    <t>35.31%</t>
  </si>
  <si>
    <t>36.71%</t>
  </si>
  <si>
    <t>41.97%</t>
  </si>
  <si>
    <t>47.88%</t>
  </si>
  <si>
    <t>52.84%</t>
  </si>
  <si>
    <t>58.48%</t>
  </si>
  <si>
    <t>61.09%</t>
  </si>
  <si>
    <t>62.69%</t>
  </si>
  <si>
    <t>63.49%</t>
  </si>
  <si>
    <t>69.72%</t>
  </si>
  <si>
    <t>70.06%</t>
  </si>
  <si>
    <t>74.17%</t>
  </si>
  <si>
    <t>Cost of Revenue</t>
  </si>
  <si>
    <t>307.79</t>
  </si>
  <si>
    <t>303.38</t>
  </si>
  <si>
    <t>289.14</t>
  </si>
  <si>
    <t>273.99</t>
  </si>
  <si>
    <t>255.09</t>
  </si>
  <si>
    <t>237.4</t>
  </si>
  <si>
    <t>225</t>
  </si>
  <si>
    <t>208.57</t>
  </si>
  <si>
    <t>195</t>
  </si>
  <si>
    <t>182.92</t>
  </si>
  <si>
    <t>169.23</t>
  </si>
  <si>
    <t>175.6</t>
  </si>
  <si>
    <t>158.23</t>
  </si>
  <si>
    <t>140.57</t>
  </si>
  <si>
    <t>126.83</t>
  </si>
  <si>
    <t>112.62</t>
  </si>
  <si>
    <t>101.66</t>
  </si>
  <si>
    <t>90.43</t>
  </si>
  <si>
    <t>78.51</t>
  </si>
  <si>
    <t>66.73</t>
  </si>
  <si>
    <t>Gross Profit</t>
  </si>
  <si>
    <t>926.46</t>
  </si>
  <si>
    <t>865.58</t>
  </si>
  <si>
    <t>814.29</t>
  </si>
  <si>
    <t>784.55</t>
  </si>
  <si>
    <t>755.09</t>
  </si>
  <si>
    <t>726.47</t>
  </si>
  <si>
    <t>696.03</t>
  </si>
  <si>
    <t>636.76</t>
  </si>
  <si>
    <t>591.01</t>
  </si>
  <si>
    <t>548.71</t>
  </si>
  <si>
    <t>523.35</t>
  </si>
  <si>
    <t>461.76</t>
  </si>
  <si>
    <t>422.65</t>
  </si>
  <si>
    <t>394.59</t>
  </si>
  <si>
    <t>361</t>
  </si>
  <si>
    <t>318.39</t>
  </si>
  <si>
    <t>278.39</t>
  </si>
  <si>
    <t>247.26</t>
  </si>
  <si>
    <t>224.34</t>
  </si>
  <si>
    <t>198.2</t>
  </si>
  <si>
    <t>Selling, General &amp; Admin</t>
  </si>
  <si>
    <t>647.96</t>
  </si>
  <si>
    <t>610.2</t>
  </si>
  <si>
    <t>598.22</t>
  </si>
  <si>
    <t>498.71</t>
  </si>
  <si>
    <t>535.21</t>
  </si>
  <si>
    <t>461.91</t>
  </si>
  <si>
    <t>453.85</t>
  </si>
  <si>
    <t>393.09</t>
  </si>
  <si>
    <t>391.78</t>
  </si>
  <si>
    <t>384.72</t>
  </si>
  <si>
    <t>363.74</t>
  </si>
  <si>
    <t>331.42</t>
  </si>
  <si>
    <t>323.82</t>
  </si>
  <si>
    <t>305.03</t>
  </si>
  <si>
    <t>261.49</t>
  </si>
  <si>
    <t>236.91</t>
  </si>
  <si>
    <t>221.02</t>
  </si>
  <si>
    <t>204.21</t>
  </si>
  <si>
    <t>177.51</t>
  </si>
  <si>
    <t>150.05</t>
  </si>
  <si>
    <t>Research &amp; Development</t>
  </si>
  <si>
    <t>347.47</t>
  </si>
  <si>
    <t>329.97</t>
  </si>
  <si>
    <t>334.13</t>
  </si>
  <si>
    <t>308.34</t>
  </si>
  <si>
    <t>275.6</t>
  </si>
  <si>
    <t>250.91</t>
  </si>
  <si>
    <t>235.25</t>
  </si>
  <si>
    <t>214</t>
  </si>
  <si>
    <t>196.07</t>
  </si>
  <si>
    <t>179.36</t>
  </si>
  <si>
    <t>179.07</t>
  </si>
  <si>
    <t>191.85</t>
  </si>
  <si>
    <t>155.26</t>
  </si>
  <si>
    <t>137.86</t>
  </si>
  <si>
    <t>123.4</t>
  </si>
  <si>
    <t>105.02</t>
  </si>
  <si>
    <t>97.63</t>
  </si>
  <si>
    <t>90.46</t>
  </si>
  <si>
    <t>78.18</t>
  </si>
  <si>
    <t>66.07</t>
  </si>
  <si>
    <t>Operating Expenses</t>
  </si>
  <si>
    <t>995.44</t>
  </si>
  <si>
    <t>940.17</t>
  </si>
  <si>
    <t>932.35</t>
  </si>
  <si>
    <t>807.05</t>
  </si>
  <si>
    <t>810.81</t>
  </si>
  <si>
    <t>712.81</t>
  </si>
  <si>
    <t>689.1</t>
  </si>
  <si>
    <t>607.09</t>
  </si>
  <si>
    <t>587.85</t>
  </si>
  <si>
    <t>564.08</t>
  </si>
  <si>
    <t>542.81</t>
  </si>
  <si>
    <t>523.26</t>
  </si>
  <si>
    <t>479.08</t>
  </si>
  <si>
    <t>442.89</t>
  </si>
  <si>
    <t>384.89</t>
  </si>
  <si>
    <t>341.92</t>
  </si>
  <si>
    <t>318.65</t>
  </si>
  <si>
    <t>294.66</t>
  </si>
  <si>
    <t>255.69</t>
  </si>
  <si>
    <t>216.12</t>
  </si>
  <si>
    <t>Operating Income</t>
  </si>
  <si>
    <t>-68.98</t>
  </si>
  <si>
    <t>-74.6</t>
  </si>
  <si>
    <t>-118.06</t>
  </si>
  <si>
    <t>-22.5</t>
  </si>
  <si>
    <t>-55.72</t>
  </si>
  <si>
    <t>13.66</t>
  </si>
  <si>
    <t>6.94</t>
  </si>
  <si>
    <t>29.67</t>
  </si>
  <si>
    <t>3.16</t>
  </si>
  <si>
    <t>-15.37</t>
  </si>
  <si>
    <t>-19.46</t>
  </si>
  <si>
    <t>-61.5</t>
  </si>
  <si>
    <t>-56.42</t>
  </si>
  <si>
    <t>-48.31</t>
  </si>
  <si>
    <t>-23.88</t>
  </si>
  <si>
    <t>-23.53</t>
  </si>
  <si>
    <t>-40.26</t>
  </si>
  <si>
    <t>-47.4</t>
  </si>
  <si>
    <t>-31.35</t>
  </si>
  <si>
    <t>-17.92</t>
  </si>
  <si>
    <t>Interest Expense</t>
  </si>
  <si>
    <t>-6.93</t>
  </si>
  <si>
    <t>-6.82</t>
  </si>
  <si>
    <t>-6.72</t>
  </si>
  <si>
    <t>-6.66</t>
  </si>
  <si>
    <t>-6.59</t>
  </si>
  <si>
    <t>-6.55</t>
  </si>
  <si>
    <t>-6.51</t>
  </si>
  <si>
    <t>-6.42</t>
  </si>
  <si>
    <t>-6.5</t>
  </si>
  <si>
    <t>-6.44</t>
  </si>
  <si>
    <t>-6.39</t>
  </si>
  <si>
    <t>-6.35</t>
  </si>
  <si>
    <t>-6.33</t>
  </si>
  <si>
    <t>-6.34</t>
  </si>
  <si>
    <t>-6.3</t>
  </si>
  <si>
    <t>-6.4</t>
  </si>
  <si>
    <t>-6.23</t>
  </si>
  <si>
    <t>-1.05</t>
  </si>
  <si>
    <t>Interest &amp; Investment Income</t>
  </si>
  <si>
    <t>50.88</t>
  </si>
  <si>
    <t>50.85</t>
  </si>
  <si>
    <t>45.38</t>
  </si>
  <si>
    <t>46.6</t>
  </si>
  <si>
    <t>52.2</t>
  </si>
  <si>
    <t>51.53</t>
  </si>
  <si>
    <t>45.85</t>
  </si>
  <si>
    <t>41.69</t>
  </si>
  <si>
    <t>40.09</t>
  </si>
  <si>
    <t>36.64</t>
  </si>
  <si>
    <t>30.52</t>
  </si>
  <si>
    <t>27.02</t>
  </si>
  <si>
    <t>16.25</t>
  </si>
  <si>
    <t>7.73</t>
  </si>
  <si>
    <t>1.51</t>
  </si>
  <si>
    <t>1.13</t>
  </si>
  <si>
    <t>1.02</t>
  </si>
  <si>
    <t>-</t>
  </si>
  <si>
    <t>Currency Exchange Gain (Loss)</t>
  </si>
  <si>
    <t>0.03</t>
  </si>
  <si>
    <t>Other Non Operating Income (Expenses)</t>
  </si>
  <si>
    <t>2.22</t>
  </si>
  <si>
    <t>-2.72</t>
  </si>
  <si>
    <t>-2.32</t>
  </si>
  <si>
    <t>-0.22</t>
  </si>
  <si>
    <t>-0.43</t>
  </si>
  <si>
    <t>-1.03</t>
  </si>
  <si>
    <t>0.78</t>
  </si>
  <si>
    <t>1.14</t>
  </si>
  <si>
    <t>-0.47</t>
  </si>
  <si>
    <t>-1.73</t>
  </si>
  <si>
    <t>0.23</t>
  </si>
  <si>
    <t>0.15</t>
  </si>
  <si>
    <t>0.12</t>
  </si>
  <si>
    <t>1.46</t>
  </si>
  <si>
    <t>-0.5</t>
  </si>
  <si>
    <t>0.08</t>
  </si>
  <si>
    <t>-0.33</t>
  </si>
  <si>
    <t>0.62</t>
  </si>
  <si>
    <t>0.41</t>
  </si>
  <si>
    <t>2.03</t>
  </si>
  <si>
    <t>EBT Excluding Unusual Items</t>
  </si>
  <si>
    <t>-22.8</t>
  </si>
  <si>
    <t>-33.29</t>
  </si>
  <si>
    <t>-81.71</t>
  </si>
  <si>
    <t>17.24</t>
  </si>
  <si>
    <t>-10.54</t>
  </si>
  <si>
    <t>57.6</t>
  </si>
  <si>
    <t>47.05</t>
  </si>
  <si>
    <t>36.27</t>
  </si>
  <si>
    <t>13.09</t>
  </si>
  <si>
    <t>4.91</t>
  </si>
  <si>
    <t>-40.69</t>
  </si>
  <si>
    <t>-46.39</t>
  </si>
  <si>
    <t>-45.46</t>
  </si>
  <si>
    <t>-29.18</t>
  </si>
  <si>
    <t>-28.62</t>
  </si>
  <si>
    <t>-45.98</t>
  </si>
  <si>
    <t>-53.08</t>
  </si>
  <si>
    <t>-37.17</t>
  </si>
  <si>
    <t>-16.94</t>
  </si>
  <si>
    <t>Merger &amp; Restructuring Charges</t>
  </si>
  <si>
    <t>-38.38</t>
  </si>
  <si>
    <t>-6.6</t>
  </si>
  <si>
    <t>-2.7</t>
  </si>
  <si>
    <t>2.12</t>
  </si>
  <si>
    <t>Gain (Loss) on Sale of Investments</t>
  </si>
  <si>
    <t>-1.58</t>
  </si>
  <si>
    <t>-0.91</t>
  </si>
  <si>
    <t>6.88</t>
  </si>
  <si>
    <t>2.48</t>
  </si>
  <si>
    <t>-2.93</t>
  </si>
  <si>
    <t>0.63</t>
  </si>
  <si>
    <t>1.92</t>
  </si>
  <si>
    <t>2.21</t>
  </si>
  <si>
    <t>0.47</t>
  </si>
  <si>
    <t>4.36</t>
  </si>
  <si>
    <t>-1.35</t>
  </si>
  <si>
    <t>Legal Settlements</t>
  </si>
  <si>
    <t>-60.1</t>
  </si>
  <si>
    <t>Pretax Income</t>
  </si>
  <si>
    <t>-23.27</t>
  </si>
  <si>
    <t>-71.67</t>
  </si>
  <si>
    <t>-89.89</t>
  </si>
  <si>
    <t>-46.46</t>
  </si>
  <si>
    <t>53.93</t>
  </si>
  <si>
    <t>68.55</t>
  </si>
  <si>
    <t>-43.62</t>
  </si>
  <si>
    <t>-45.76</t>
  </si>
  <si>
    <t>-43.54</t>
  </si>
  <si>
    <t>-26.97</t>
  </si>
  <si>
    <t>-28.16</t>
  </si>
  <si>
    <t>-32.81</t>
  </si>
  <si>
    <t>-16.17</t>
  </si>
  <si>
    <t>Income Tax Expense</t>
  </si>
  <si>
    <t>10.72</t>
  </si>
  <si>
    <t>5.97</t>
  </si>
  <si>
    <t>21.11</t>
  </si>
  <si>
    <t>46.27</t>
  </si>
  <si>
    <t>6.28</t>
  </si>
  <si>
    <t>10.91</t>
  </si>
  <si>
    <t>7.67</t>
  </si>
  <si>
    <t>13.61</t>
  </si>
  <si>
    <t>9.6</t>
  </si>
  <si>
    <t>4.61</t>
  </si>
  <si>
    <t>4.41</t>
  </si>
  <si>
    <t>5.31</t>
  </si>
  <si>
    <t>8.87</t>
  </si>
  <si>
    <t>4.78</t>
  </si>
  <si>
    <t>3.44</t>
  </si>
  <si>
    <t>13.58</t>
  </si>
  <si>
    <t>4.47</t>
  </si>
  <si>
    <t>4.24</t>
  </si>
  <si>
    <t>50.06</t>
  </si>
  <si>
    <t>2.83</t>
  </si>
  <si>
    <t>Earnings From Continuing Operations</t>
  </si>
  <si>
    <t>-33.99</t>
  </si>
  <si>
    <t>-77.65</t>
  </si>
  <si>
    <t>-110.99</t>
  </si>
  <si>
    <t>-92.73</t>
  </si>
  <si>
    <t>-16.82</t>
  </si>
  <si>
    <t>46.69</t>
  </si>
  <si>
    <t>46.26</t>
  </si>
  <si>
    <t>54.94</t>
  </si>
  <si>
    <t>26.67</t>
  </si>
  <si>
    <t>8.48</t>
  </si>
  <si>
    <t>0.5</t>
  </si>
  <si>
    <t>-48.93</t>
  </si>
  <si>
    <t>-54.63</t>
  </si>
  <si>
    <t>-30.41</t>
  </si>
  <si>
    <t>-41.74</t>
  </si>
  <si>
    <t>-50.45</t>
  </si>
  <si>
    <t>-57.32</t>
  </si>
  <si>
    <t>-82.87</t>
  </si>
  <si>
    <t>-19</t>
  </si>
  <si>
    <t>Minority Interest in Earnings</t>
  </si>
  <si>
    <t>-0.01</t>
  </si>
  <si>
    <t>-0.03</t>
  </si>
  <si>
    <t>0.79</t>
  </si>
  <si>
    <t>0.45</t>
  </si>
  <si>
    <t>-0</t>
  </si>
  <si>
    <t>0.32</t>
  </si>
  <si>
    <t>-3.44</t>
  </si>
  <si>
    <t>-1.24</t>
  </si>
  <si>
    <t>1.45</t>
  </si>
  <si>
    <t>-0.97</t>
  </si>
  <si>
    <t>-1.11</t>
  </si>
  <si>
    <t>-0.24</t>
  </si>
  <si>
    <t>-2.18</t>
  </si>
  <si>
    <t>Net Income</t>
  </si>
  <si>
    <t>-34</t>
  </si>
  <si>
    <t>-77.68</t>
  </si>
  <si>
    <t>-110.21</t>
  </si>
  <si>
    <t>-92.28</t>
  </si>
  <si>
    <t>47.01</t>
  </si>
  <si>
    <t>42.82</t>
  </si>
  <si>
    <t>53.7</t>
  </si>
  <si>
    <t>8.47</t>
  </si>
  <si>
    <t>0.49</t>
  </si>
  <si>
    <t>-47.48</t>
  </si>
  <si>
    <t>-54.96</t>
  </si>
  <si>
    <t>-49.29</t>
  </si>
  <si>
    <t>-31.52</t>
  </si>
  <si>
    <t>-41.98</t>
  </si>
  <si>
    <t>-50.46</t>
  </si>
  <si>
    <t>-85.05</t>
  </si>
  <si>
    <t>Net Income to Common</t>
  </si>
  <si>
    <t>Net Income Growth</t>
  </si>
  <si>
    <t>454.92%</t>
  </si>
  <si>
    <t>8620.98%</t>
  </si>
  <si>
    <t>Shares Outstanding (Basic)</t>
  </si>
  <si>
    <t>251</t>
  </si>
  <si>
    <t>250</t>
  </si>
  <si>
    <t>248</t>
  </si>
  <si>
    <t>247</t>
  </si>
  <si>
    <t>246</t>
  </si>
  <si>
    <t>244</t>
  </si>
  <si>
    <t>242</t>
  </si>
  <si>
    <t>241</t>
  </si>
  <si>
    <t>239</t>
  </si>
  <si>
    <t>238</t>
  </si>
  <si>
    <t>236</t>
  </si>
  <si>
    <t>235</t>
  </si>
  <si>
    <t>234</t>
  </si>
  <si>
    <t>233</t>
  </si>
  <si>
    <t>231</t>
  </si>
  <si>
    <t>230</t>
  </si>
  <si>
    <t>228</t>
  </si>
  <si>
    <t>226</t>
  </si>
  <si>
    <t>224</t>
  </si>
  <si>
    <t>222</t>
  </si>
  <si>
    <t>Shares Outstanding (Diluted)</t>
  </si>
  <si>
    <t>Shares Change (YoY)</t>
  </si>
  <si>
    <t>2.36%</t>
  </si>
  <si>
    <t>-0.54%</t>
  </si>
  <si>
    <t>-0.69%</t>
  </si>
  <si>
    <t>-0.40%</t>
  </si>
  <si>
    <t>0.71%</t>
  </si>
  <si>
    <t>3.77%</t>
  </si>
  <si>
    <t>3.98%</t>
  </si>
  <si>
    <t>5.49%</t>
  </si>
  <si>
    <t>4.28%</t>
  </si>
  <si>
    <t>4.12%</t>
  </si>
  <si>
    <t>4.07%</t>
  </si>
  <si>
    <t>2.34%</t>
  </si>
  <si>
    <t>2.41%</t>
  </si>
  <si>
    <t>2.73%</t>
  </si>
  <si>
    <t>3.13%</t>
  </si>
  <si>
    <t>3.59%</t>
  </si>
  <si>
    <t>4.05%</t>
  </si>
  <si>
    <t>4.46%</t>
  </si>
  <si>
    <t>5.17%</t>
  </si>
  <si>
    <t>6.81%</t>
  </si>
  <si>
    <t>EPS (Basic)</t>
  </si>
  <si>
    <t>-0.14</t>
  </si>
  <si>
    <t>-0.31</t>
  </si>
  <si>
    <t>-0.44</t>
  </si>
  <si>
    <t>-0.37</t>
  </si>
  <si>
    <t>-0.07</t>
  </si>
  <si>
    <t>0.19</t>
  </si>
  <si>
    <t>0.18</t>
  </si>
  <si>
    <t>0.22</t>
  </si>
  <si>
    <t>0.11</t>
  </si>
  <si>
    <t>0.04</t>
  </si>
  <si>
    <t>0.00</t>
  </si>
  <si>
    <t>-0.20</t>
  </si>
  <si>
    <t>-0.21</t>
  </si>
  <si>
    <t>-0.18</t>
  </si>
  <si>
    <t>-0.25</t>
  </si>
  <si>
    <t>-0.38</t>
  </si>
  <si>
    <t>-0.09</t>
  </si>
  <si>
    <t>EPS (Diluted)</t>
  </si>
  <si>
    <t>0.17</t>
  </si>
  <si>
    <t>EPS Growth</t>
  </si>
  <si>
    <t>533.33%</t>
  </si>
  <si>
    <t>8233.33%</t>
  </si>
  <si>
    <t>Free Cash Flow</t>
  </si>
  <si>
    <t>314.15</t>
  </si>
  <si>
    <t>302.34</t>
  </si>
  <si>
    <t>298.36</t>
  </si>
  <si>
    <t>258.51</t>
  </si>
  <si>
    <t>247.43</t>
  </si>
  <si>
    <t>287.39</t>
  </si>
  <si>
    <t>333.55</t>
  </si>
  <si>
    <t>294.43</t>
  </si>
  <si>
    <t>252.25</t>
  </si>
  <si>
    <t>204.36</t>
  </si>
  <si>
    <t>238.63</t>
  </si>
  <si>
    <t>217.88</t>
  </si>
  <si>
    <t>181.58</t>
  </si>
  <si>
    <t>143.78</t>
  </si>
  <si>
    <t>162.75</t>
  </si>
  <si>
    <t>133</t>
  </si>
  <si>
    <t>129.43</t>
  </si>
  <si>
    <t>78.48</t>
  </si>
  <si>
    <t>121.74</t>
  </si>
  <si>
    <t>101.91</t>
  </si>
  <si>
    <t>Free Cash Flow Per Share</t>
  </si>
  <si>
    <t>1.25</t>
  </si>
  <si>
    <t>1.21</t>
  </si>
  <si>
    <t>1.20</t>
  </si>
  <si>
    <t>1.05</t>
  </si>
  <si>
    <t>1.01</t>
  </si>
  <si>
    <t>1.33</t>
  </si>
  <si>
    <t>1.19</t>
  </si>
  <si>
    <t>1.03</t>
  </si>
  <si>
    <t>0.84</t>
  </si>
  <si>
    <t>0.99</t>
  </si>
  <si>
    <t>0.93</t>
  </si>
  <si>
    <t>0.70</t>
  </si>
  <si>
    <t>0.58</t>
  </si>
  <si>
    <t>0.57</t>
  </si>
  <si>
    <t>0.35</t>
  </si>
  <si>
    <t>0.54</t>
  </si>
  <si>
    <t>0.46</t>
  </si>
  <si>
    <t>Gross Margin</t>
  </si>
  <si>
    <t>75.06%</t>
  </si>
  <si>
    <t>74.05%</t>
  </si>
  <si>
    <t>73.80%</t>
  </si>
  <si>
    <t>74.12%</t>
  </si>
  <si>
    <t>74.75%</t>
  </si>
  <si>
    <t>75.37%</t>
  </si>
  <si>
    <t>75.57%</t>
  </si>
  <si>
    <t>75.33%</t>
  </si>
  <si>
    <t>75.19%</t>
  </si>
  <si>
    <t>75.00%</t>
  </si>
  <si>
    <t>75.56%</t>
  </si>
  <si>
    <t>72.45%</t>
  </si>
  <si>
    <t>72.76%</t>
  </si>
  <si>
    <t>73.73%</t>
  </si>
  <si>
    <t>74.00%</t>
  </si>
  <si>
    <t>73.87%</t>
  </si>
  <si>
    <t>73.25%</t>
  </si>
  <si>
    <t>73.22%</t>
  </si>
  <si>
    <t>74.08%</t>
  </si>
  <si>
    <t>74.81%</t>
  </si>
  <si>
    <t>Operating Margin</t>
  </si>
  <si>
    <t>-5.59%</t>
  </si>
  <si>
    <t>-6.38%</t>
  </si>
  <si>
    <t>-10.70%</t>
  </si>
  <si>
    <t>-2.13%</t>
  </si>
  <si>
    <t>-5.52%</t>
  </si>
  <si>
    <t>1.42%</t>
  </si>
  <si>
    <t>0.75%</t>
  </si>
  <si>
    <t>3.51%</t>
  </si>
  <si>
    <t>0.40%</t>
  </si>
  <si>
    <t>-2.10%</t>
  </si>
  <si>
    <t>-2.81%</t>
  </si>
  <si>
    <t>-9.65%</t>
  </si>
  <si>
    <t>-9.71%</t>
  </si>
  <si>
    <t>-9.03%</t>
  </si>
  <si>
    <t>-4.90%</t>
  </si>
  <si>
    <t>-5.46%</t>
  </si>
  <si>
    <t>-10.59%</t>
  </si>
  <si>
    <t>-14.04%</t>
  </si>
  <si>
    <t>-10.35%</t>
  </si>
  <si>
    <t>-6.77%</t>
  </si>
  <si>
    <t>Profit Margin</t>
  </si>
  <si>
    <t>-2.75%</t>
  </si>
  <si>
    <t>-6.64%</t>
  </si>
  <si>
    <t>-9.99%</t>
  </si>
  <si>
    <t>-8.72%</t>
  </si>
  <si>
    <t>-1.67%</t>
  </si>
  <si>
    <t>4.88%</t>
  </si>
  <si>
    <t>4.65%</t>
  </si>
  <si>
    <t>6.35%</t>
  </si>
  <si>
    <t>3.39%</t>
  </si>
  <si>
    <t>1.16%</t>
  </si>
  <si>
    <t>0.07%</t>
  </si>
  <si>
    <t>-7.45%</t>
  </si>
  <si>
    <t>-9.46%</t>
  </si>
  <si>
    <t>-9.21%</t>
  </si>
  <si>
    <t>-6.46%</t>
  </si>
  <si>
    <t>-9.74%</t>
  </si>
  <si>
    <t>-13.28%</t>
  </si>
  <si>
    <t>-16.97%</t>
  </si>
  <si>
    <t>-28.08%</t>
  </si>
  <si>
    <t>-7.17%</t>
  </si>
  <si>
    <t>Free Cash Flow Margin</t>
  </si>
  <si>
    <t>25.45%</t>
  </si>
  <si>
    <t>25.86%</t>
  </si>
  <si>
    <t>27.04%</t>
  </si>
  <si>
    <t>24.42%</t>
  </si>
  <si>
    <t>24.49%</t>
  </si>
  <si>
    <t>29.82%</t>
  </si>
  <si>
    <t>36.21%</t>
  </si>
  <si>
    <t>34.83%</t>
  </si>
  <si>
    <t>32.09%</t>
  </si>
  <si>
    <t>27.93%</t>
  </si>
  <si>
    <t>34.46%</t>
  </si>
  <si>
    <t>34.19%</t>
  </si>
  <si>
    <t>31.26%</t>
  </si>
  <si>
    <t>26.87%</t>
  </si>
  <si>
    <t>33.36%</t>
  </si>
  <si>
    <t>30.86%</t>
  </si>
  <si>
    <t>34.06%</t>
  </si>
  <si>
    <t>23.24%</t>
  </si>
  <si>
    <t>40.20%</t>
  </si>
  <si>
    <t>38.47%</t>
  </si>
  <si>
    <t>EBITDA</t>
  </si>
  <si>
    <t>-17.73</t>
  </si>
  <si>
    <t>-26.16</t>
  </si>
  <si>
    <t>-71.5</t>
  </si>
  <si>
    <t>21.54</t>
  </si>
  <si>
    <t>-15.28</t>
  </si>
  <si>
    <t>52.44</t>
  </si>
  <si>
    <t>60.14</t>
  </si>
  <si>
    <t>32.09</t>
  </si>
  <si>
    <t>10.1</t>
  </si>
  <si>
    <t>3.63</t>
  </si>
  <si>
    <t>-40.35</t>
  </si>
  <si>
    <t>-38.4</t>
  </si>
  <si>
    <t>-31.3</t>
  </si>
  <si>
    <t>-7.75</t>
  </si>
  <si>
    <t>-7.1</t>
  </si>
  <si>
    <t>-25.69</t>
  </si>
  <si>
    <t>-33.89</t>
  </si>
  <si>
    <t>-8.37</t>
  </si>
  <si>
    <t>EBITDA Margin</t>
  </si>
  <si>
    <t>-1.44%</t>
  </si>
  <si>
    <t>-2.24%</t>
  </si>
  <si>
    <t>-6.48%</t>
  </si>
  <si>
    <t>2.04%</t>
  </si>
  <si>
    <t>-1.51%</t>
  </si>
  <si>
    <t>5.44%</t>
  </si>
  <si>
    <t>7.11%</t>
  </si>
  <si>
    <t>4.08%</t>
  </si>
  <si>
    <t>1.38%</t>
  </si>
  <si>
    <t>0.52%</t>
  </si>
  <si>
    <t>-6.33%</t>
  </si>
  <si>
    <t>-6.61%</t>
  </si>
  <si>
    <t>-5.85%</t>
  </si>
  <si>
    <t>-1.59%</t>
  </si>
  <si>
    <t>-1.65%</t>
  </si>
  <si>
    <t>-6.76%</t>
  </si>
  <si>
    <t>-10.04%</t>
  </si>
  <si>
    <t>-6.42%</t>
  </si>
  <si>
    <t>-3.16%</t>
  </si>
  <si>
    <t>D&amp;A For EBITDA</t>
  </si>
  <si>
    <t>51.25</t>
  </si>
  <si>
    <t>48.44</t>
  </si>
  <si>
    <t>46.56</t>
  </si>
  <si>
    <t>44.04</t>
  </si>
  <si>
    <t>40.45</t>
  </si>
  <si>
    <t>38.78</t>
  </si>
  <si>
    <t>35.88</t>
  </si>
  <si>
    <t>30.47</t>
  </si>
  <si>
    <t>28.93</t>
  </si>
  <si>
    <t>25.48</t>
  </si>
  <si>
    <t>23.08</t>
  </si>
  <si>
    <t>21.15</t>
  </si>
  <si>
    <t>18.02</t>
  </si>
  <si>
    <t>17.01</t>
  </si>
  <si>
    <t>16.13</t>
  </si>
  <si>
    <t>16.43</t>
  </si>
  <si>
    <t>14.57</t>
  </si>
  <si>
    <t>13.51</t>
  </si>
  <si>
    <t>11.89</t>
  </si>
  <si>
    <t>9.55</t>
  </si>
  <si>
    <t>EBIT</t>
  </si>
  <si>
    <t>EBIT Margin</t>
  </si>
  <si>
    <t>Effective Tax Rate</t>
  </si>
  <si>
    <t>18.95%</t>
  </si>
  <si>
    <t>14.22%</t>
  </si>
  <si>
    <t>19.85%</t>
  </si>
  <si>
    <t>26.47%</t>
  </si>
  <si>
    <t>35.23%</t>
  </si>
  <si>
    <t>89.83%</t>
  </si>
  <si>
    <t>Revenue as Reported</t>
  </si>
  <si>
    <t>Q3 2021</t>
  </si>
  <si>
    <t>Q2 2021</t>
  </si>
  <si>
    <t>Q1 2021</t>
  </si>
  <si>
    <t>Q4 2020</t>
  </si>
  <si>
    <t>+20 Quarters</t>
  </si>
  <si>
    <t>Sep '25 Sep 30, 2025</t>
  </si>
  <si>
    <t>Jun '25 Jun 30, 2025</t>
  </si>
  <si>
    <t>Mar '25 Mar 31, 2025</t>
  </si>
  <si>
    <t>Dec '24 Dec 31, 2024</t>
  </si>
  <si>
    <t>Sep '24 Sep 30, 2024</t>
  </si>
  <si>
    <t>Jun '24 Jun 30, 2024</t>
  </si>
  <si>
    <t>Mar '24 Mar 31, 2024</t>
  </si>
  <si>
    <t>Dec '23 Dec 31, 2023</t>
  </si>
  <si>
    <t>Sep '23 Sep 30, 2023</t>
  </si>
  <si>
    <t>Jun '23 Jun 30, 2023</t>
  </si>
  <si>
    <t>Mar '23 Mar 31, 2023</t>
  </si>
  <si>
    <t>Dec '22 Dec 31, 2022</t>
  </si>
  <si>
    <t>Sep '22 Sep 30, 2022</t>
  </si>
  <si>
    <t>Jun '22 Jun 30, 2022</t>
  </si>
  <si>
    <t>Mar '22 Mar 31, 2022</t>
  </si>
  <si>
    <t>Dec '21 Dec 31, 2021</t>
  </si>
  <si>
    <t>Sep '21 Sep 30, 2021</t>
  </si>
  <si>
    <t>Jun '21 Jun 30, 2021</t>
  </si>
  <si>
    <t>Mar '21 Mar 31, 2021</t>
  </si>
  <si>
    <t>Dec '20 Dec 31, 2020</t>
  </si>
  <si>
    <t>Interest Income on Loans</t>
  </si>
  <si>
    <t>49,439</t>
  </si>
  <si>
    <t>48,241</t>
  </si>
  <si>
    <t>46,853</t>
  </si>
  <si>
    <t>47,566</t>
  </si>
  <si>
    <t>50,416</t>
  </si>
  <si>
    <t>48,513</t>
  </si>
  <si>
    <t>47,438</t>
  </si>
  <si>
    <t>47,384</t>
  </si>
  <si>
    <t>44,556</t>
  </si>
  <si>
    <t>41,644</t>
  </si>
  <si>
    <t>37,004</t>
  </si>
  <si>
    <t>33,054</t>
  </si>
  <si>
    <t>25,611</t>
  </si>
  <si>
    <t>18,646</t>
  </si>
  <si>
    <t>15,496</t>
  </si>
  <si>
    <t>15,019</t>
  </si>
  <si>
    <t>14,480</t>
  </si>
  <si>
    <t>14,094</t>
  </si>
  <si>
    <t>14,271</t>
  </si>
  <si>
    <t>Interest Paid on Deposits</t>
  </si>
  <si>
    <t>25,473</t>
  </si>
  <si>
    <t>25,032</t>
  </si>
  <si>
    <t>23,580</t>
  </si>
  <si>
    <t>24,216</t>
  </si>
  <si>
    <t>27,011</t>
  </si>
  <si>
    <t>25,767</t>
  </si>
  <si>
    <t>24,356</t>
  </si>
  <si>
    <t>23,333</t>
  </si>
  <si>
    <t>21,830</t>
  </si>
  <si>
    <t>19,865</t>
  </si>
  <si>
    <t>16,293</t>
  </si>
  <si>
    <t>12,862</t>
  </si>
  <si>
    <t>8,093</t>
  </si>
  <si>
    <t>3,518</t>
  </si>
  <si>
    <t>1,624</t>
  </si>
  <si>
    <t>1,418</t>
  </si>
  <si>
    <t>1,400</t>
  </si>
  <si>
    <t>1,353</t>
  </si>
  <si>
    <t>1,382</t>
  </si>
  <si>
    <t>Net Interest Income</t>
  </si>
  <si>
    <t>23,966</t>
  </si>
  <si>
    <t>23,209</t>
  </si>
  <si>
    <t>23,273</t>
  </si>
  <si>
    <t>23,350</t>
  </si>
  <si>
    <t>23,405</t>
  </si>
  <si>
    <t>22,746</t>
  </si>
  <si>
    <t>23,082</t>
  </si>
  <si>
    <t>24,051</t>
  </si>
  <si>
    <t>22,726</t>
  </si>
  <si>
    <t>21,779</t>
  </si>
  <si>
    <t>20,711</t>
  </si>
  <si>
    <t>20,192</t>
  </si>
  <si>
    <t>17,518</t>
  </si>
  <si>
    <t>15,128</t>
  </si>
  <si>
    <t>13,872</t>
  </si>
  <si>
    <t>13,601</t>
  </si>
  <si>
    <t>13,080</t>
  </si>
  <si>
    <t>12,741</t>
  </si>
  <si>
    <t>12,889</t>
  </si>
  <si>
    <t>Net Interest Income Growth (YoY)</t>
  </si>
  <si>
    <t>2.40%</t>
  </si>
  <si>
    <t>0.83%</t>
  </si>
  <si>
    <t>-2.92%</t>
  </si>
  <si>
    <t>2.99%</t>
  </si>
  <si>
    <t>4.44%</t>
  </si>
  <si>
    <t>11.45%</t>
  </si>
  <si>
    <t>19.11%</t>
  </si>
  <si>
    <t>29.73%</t>
  </si>
  <si>
    <t>43.96%</t>
  </si>
  <si>
    <t>49.30%</t>
  </si>
  <si>
    <t>48.46%</t>
  </si>
  <si>
    <t>33.93%</t>
  </si>
  <si>
    <t>18.73%</t>
  </si>
  <si>
    <t>7.63%</t>
  </si>
  <si>
    <t>2.59%</t>
  </si>
  <si>
    <t>-8.03%</t>
  </si>
  <si>
    <t>-10.73%</t>
  </si>
  <si>
    <t>Trust Income</t>
  </si>
  <si>
    <t>5,120</t>
  </si>
  <si>
    <t>4,806</t>
  </si>
  <si>
    <t>4,700</t>
  </si>
  <si>
    <t>4,874</t>
  </si>
  <si>
    <t>4,479</t>
  </si>
  <si>
    <t>4,302</t>
  </si>
  <si>
    <t>4,146</t>
  </si>
  <si>
    <t>4,077</t>
  </si>
  <si>
    <t>3,904</t>
  </si>
  <si>
    <t>3,774</t>
  </si>
  <si>
    <t>3,465</t>
  </si>
  <si>
    <t>3,432</t>
  </si>
  <si>
    <t>3,495</t>
  </si>
  <si>
    <t>3,517</t>
  </si>
  <si>
    <t>3,652</t>
  </si>
  <si>
    <t>5,549</t>
  </si>
  <si>
    <t>5,257</t>
  </si>
  <si>
    <t>5,194</t>
  </si>
  <si>
    <t>5,029</t>
  </si>
  <si>
    <t>Mortgage Banking Activities</t>
  </si>
  <si>
    <t>383</t>
  </si>
  <si>
    <t>363</t>
  </si>
  <si>
    <t>278</t>
  </si>
  <si>
    <t>376</t>
  </si>
  <si>
    <t>402</t>
  </si>
  <si>
    <t>348</t>
  </si>
  <si>
    <t>275</t>
  </si>
  <si>
    <t>263</t>
  </si>
  <si>
    <t>414</t>
  </si>
  <si>
    <t>221</t>
  </si>
  <si>
    <t>98</t>
  </si>
  <si>
    <t>314</t>
  </si>
  <si>
    <t>378</t>
  </si>
  <si>
    <t>460</t>
  </si>
  <si>
    <t>315</t>
  </si>
  <si>
    <t>600</t>
  </si>
  <si>
    <t>551</t>
  </si>
  <si>
    <t>704</t>
  </si>
  <si>
    <t>Income From Trading Activities</t>
  </si>
  <si>
    <t>7,109</t>
  </si>
  <si>
    <t>7,149</t>
  </si>
  <si>
    <t>7,614</t>
  </si>
  <si>
    <t>5,195</t>
  </si>
  <si>
    <t>5,988</t>
  </si>
  <si>
    <t>6,814</t>
  </si>
  <si>
    <t>6,790</t>
  </si>
  <si>
    <t>3,725</t>
  </si>
  <si>
    <t>6,210</t>
  </si>
  <si>
    <t>6,910</t>
  </si>
  <si>
    <t>7,615</t>
  </si>
  <si>
    <t>4,434</t>
  </si>
  <si>
    <t>5,383</t>
  </si>
  <si>
    <t>4,990</t>
  </si>
  <si>
    <t>5,105</t>
  </si>
  <si>
    <t>2,182</t>
  </si>
  <si>
    <t>3,546</t>
  </si>
  <si>
    <t>4,076</t>
  </si>
  <si>
    <t>6,500</t>
  </si>
  <si>
    <t>Gain (Loss) on Sale of Assets</t>
  </si>
  <si>
    <t>-8</t>
  </si>
  <si>
    <t>-7</t>
  </si>
  <si>
    <t>6</t>
  </si>
  <si>
    <t>197</t>
  </si>
  <si>
    <t>-61</t>
  </si>
  <si>
    <t>-3</t>
  </si>
  <si>
    <t>-95</t>
  </si>
  <si>
    <t>-46</t>
  </si>
  <si>
    <t>-8,646</t>
  </si>
  <si>
    <t>-405</t>
  </si>
  <si>
    <t>-924</t>
  </si>
  <si>
    <t>-952</t>
  </si>
  <si>
    <t>-932</t>
  </si>
  <si>
    <t>-929</t>
  </si>
  <si>
    <t>-1,684</t>
  </si>
  <si>
    <t>-1,035</t>
  </si>
  <si>
    <t>-540</t>
  </si>
  <si>
    <t>-18</t>
  </si>
  <si>
    <t>-166</t>
  </si>
  <si>
    <t>-53</t>
  </si>
  <si>
    <t>20</t>
  </si>
  <si>
    <t>Other Non-Interest Income</t>
  </si>
  <si>
    <t>9,652</t>
  </si>
  <si>
    <t>9,446</t>
  </si>
  <si>
    <t>9,448</t>
  </si>
  <si>
    <t>9,068</t>
  </si>
  <si>
    <t>8,426</t>
  </si>
  <si>
    <t>24,517</t>
  </si>
  <si>
    <t>8,062</t>
  </si>
  <si>
    <t>7,080</t>
  </si>
  <si>
    <t>7,472</t>
  </si>
  <si>
    <t>6,786</t>
  </si>
  <si>
    <t>7,266</t>
  </si>
  <si>
    <t>8,075</t>
  </si>
  <si>
    <t>7,041</t>
  </si>
  <si>
    <t>7,242</t>
  </si>
  <si>
    <t>7,646</t>
  </si>
  <si>
    <t>7,377</t>
  </si>
  <si>
    <t>7,330</t>
  </si>
  <si>
    <t>7,970</t>
  </si>
  <si>
    <t>7,124</t>
  </si>
  <si>
    <t>Total Non-Interest Income</t>
  </si>
  <si>
    <t>22,461</t>
  </si>
  <si>
    <t>21,703</t>
  </si>
  <si>
    <t>22,037</t>
  </si>
  <si>
    <t>19,418</t>
  </si>
  <si>
    <t>19,249</t>
  </si>
  <si>
    <t>27,335</t>
  </si>
  <si>
    <t>18,868</t>
  </si>
  <si>
    <t>14,221</t>
  </si>
  <si>
    <t>17,048</t>
  </si>
  <si>
    <t>16,816</t>
  </si>
  <si>
    <t>17,638</t>
  </si>
  <si>
    <t>14,347</t>
  </si>
  <si>
    <t>15,198</t>
  </si>
  <si>
    <t>15,587</t>
  </si>
  <si>
    <t>16,845</t>
  </si>
  <si>
    <t>15,649</t>
  </si>
  <si>
    <t>16,567</t>
  </si>
  <si>
    <t>17,738</t>
  </si>
  <si>
    <t>19,377</t>
  </si>
  <si>
    <t>Non-Interest Income Growth (YoY)</t>
  </si>
  <si>
    <t>16.69%</t>
  </si>
  <si>
    <t>-20.60%</t>
  </si>
  <si>
    <t>16.80%</t>
  </si>
  <si>
    <t>36.55%</t>
  </si>
  <si>
    <t>12.91%</t>
  </si>
  <si>
    <t>62.55%</t>
  </si>
  <si>
    <t>6.97%</t>
  </si>
  <si>
    <t>-0.88%</t>
  </si>
  <si>
    <t>12.17%</t>
  </si>
  <si>
    <t>7.89%</t>
  </si>
  <si>
    <t>4.71%</t>
  </si>
  <si>
    <t>-8.32%</t>
  </si>
  <si>
    <t>-8.26%</t>
  </si>
  <si>
    <t>-12.13%</t>
  </si>
  <si>
    <t>-13.07%</t>
  </si>
  <si>
    <t>-2.66%</t>
  </si>
  <si>
    <t>2.00%</t>
  </si>
  <si>
    <t>-7.72%</t>
  </si>
  <si>
    <t>39.94%</t>
  </si>
  <si>
    <t>13.88%</t>
  </si>
  <si>
    <t>Revenues Before Loan Losses</t>
  </si>
  <si>
    <t>46,427</t>
  </si>
  <si>
    <t>44,912</t>
  </si>
  <si>
    <t>45,310</t>
  </si>
  <si>
    <t>42,768</t>
  </si>
  <si>
    <t>42,654</t>
  </si>
  <si>
    <t>50,081</t>
  </si>
  <si>
    <t>41,950</t>
  </si>
  <si>
    <t>38,272</t>
  </si>
  <si>
    <t>39,774</t>
  </si>
  <si>
    <t>38,595</t>
  </si>
  <si>
    <t>38,349</t>
  </si>
  <si>
    <t>34,539</t>
  </si>
  <si>
    <t>32,716</t>
  </si>
  <si>
    <t>30,715</t>
  </si>
  <si>
    <t>30,717</t>
  </si>
  <si>
    <t>29,250</t>
  </si>
  <si>
    <t>29,647</t>
  </si>
  <si>
    <t>30,479</t>
  </si>
  <si>
    <t>32,266</t>
  </si>
  <si>
    <t>Provision for Loan Losses</t>
  </si>
  <si>
    <t>3,403</t>
  </si>
  <si>
    <t>2,849</t>
  </si>
  <si>
    <t>3,305</t>
  </si>
  <si>
    <t>2,631</t>
  </si>
  <si>
    <t>3,111</t>
  </si>
  <si>
    <t>3,052</t>
  </si>
  <si>
    <t>1,884</t>
  </si>
  <si>
    <t>2,762</t>
  </si>
  <si>
    <t>1,384</t>
  </si>
  <si>
    <t>2,899</t>
  </si>
  <si>
    <t>2,275</t>
  </si>
  <si>
    <t>2,288</t>
  </si>
  <si>
    <t>1,537</t>
  </si>
  <si>
    <t>1,101</t>
  </si>
  <si>
    <t>1,463</t>
  </si>
  <si>
    <t>-1,288</t>
  </si>
  <si>
    <t>-1,527</t>
  </si>
  <si>
    <t>-2,285</t>
  </si>
  <si>
    <t>-4,156</t>
  </si>
  <si>
    <t>43,024</t>
  </si>
  <si>
    <t>42,063</t>
  </si>
  <si>
    <t>42,005</t>
  </si>
  <si>
    <t>40,137</t>
  </si>
  <si>
    <t>39,543</t>
  </si>
  <si>
    <t>47,029</t>
  </si>
  <si>
    <t>40,066</t>
  </si>
  <si>
    <t>35,510</t>
  </si>
  <si>
    <t>38,390</t>
  </si>
  <si>
    <t>35,696</t>
  </si>
  <si>
    <t>36,074</t>
  </si>
  <si>
    <t>32,251</t>
  </si>
  <si>
    <t>31,179</t>
  </si>
  <si>
    <t>29,614</t>
  </si>
  <si>
    <t>29,254</t>
  </si>
  <si>
    <t>30,538</t>
  </si>
  <si>
    <t>31,174</t>
  </si>
  <si>
    <t>32,764</t>
  </si>
  <si>
    <t>36,422</t>
  </si>
  <si>
    <t>8.80%</t>
  </si>
  <si>
    <t>-10.56%</t>
  </si>
  <si>
    <t>4.84%</t>
  </si>
  <si>
    <t>13.03%</t>
  </si>
  <si>
    <t>3.00%</t>
  </si>
  <si>
    <t>31.75%</t>
  </si>
  <si>
    <t>11.07%</t>
  </si>
  <si>
    <t>10.11%</t>
  </si>
  <si>
    <t>23.13%</t>
  </si>
  <si>
    <t>20.54%</t>
  </si>
  <si>
    <t>23.31%</t>
  </si>
  <si>
    <t>5.61%</t>
  </si>
  <si>
    <t>0.02%</t>
  </si>
  <si>
    <t>-9.61%</t>
  </si>
  <si>
    <t>-19.68%</t>
  </si>
  <si>
    <t>-2.20%</t>
  </si>
  <si>
    <t>8.83%</t>
  </si>
  <si>
    <t>44.96%</t>
  </si>
  <si>
    <t>82.10%</t>
  </si>
  <si>
    <t>Salaries and Employee Benefits</t>
  </si>
  <si>
    <t>12,656</t>
  </si>
  <si>
    <t>12,751</t>
  </si>
  <si>
    <t>13,040</t>
  </si>
  <si>
    <t>11,696</t>
  </si>
  <si>
    <t>11,968</t>
  </si>
  <si>
    <t>12,009</t>
  </si>
  <si>
    <t>12,180</t>
  </si>
  <si>
    <t>11,216</t>
  </si>
  <si>
    <t>10,944</t>
  </si>
  <si>
    <t>10,382</t>
  </si>
  <si>
    <t>10,806</t>
  </si>
  <si>
    <t>9,524</t>
  </si>
  <si>
    <t>9,855</t>
  </si>
  <si>
    <t>9,482</t>
  </si>
  <si>
    <t>9,981</t>
  </si>
  <si>
    <t>8,401</t>
  </si>
  <si>
    <t>8,469</t>
  </si>
  <si>
    <t>9,071</t>
  </si>
  <si>
    <t>9,697</t>
  </si>
  <si>
    <t>Selling, General &amp; Administrative</t>
  </si>
  <si>
    <t>9,822</t>
  </si>
  <si>
    <t>9,212</t>
  </si>
  <si>
    <t>9,076</t>
  </si>
  <si>
    <t>8,940</t>
  </si>
  <si>
    <t>8,592</t>
  </si>
  <si>
    <t>8,582</t>
  </si>
  <si>
    <t>8,278</t>
  </si>
  <si>
    <t>8,152</t>
  </si>
  <si>
    <t>8,111</t>
  </si>
  <si>
    <t>7,854</t>
  </si>
  <si>
    <t>7,662</t>
  </si>
  <si>
    <t>7,757</t>
  </si>
  <si>
    <t>7,710</t>
  </si>
  <si>
    <t>7,674</t>
  </si>
  <si>
    <t>7,792</t>
  </si>
  <si>
    <t>7,977</t>
  </si>
  <si>
    <t>7,435</t>
  </si>
  <si>
    <t>7,332</t>
  </si>
  <si>
    <t>7,492</t>
  </si>
  <si>
    <t>Other Non-Interest Expense</t>
  </si>
  <si>
    <t>1,741</t>
  </si>
  <si>
    <t>1,698</t>
  </si>
  <si>
    <t>1,683</t>
  </si>
  <si>
    <t>1,507</t>
  </si>
  <si>
    <t>1,746</t>
  </si>
  <si>
    <t>2,805</t>
  </si>
  <si>
    <t>1,646</t>
  </si>
  <si>
    <t>983</t>
  </si>
  <si>
    <t>2,037</t>
  </si>
  <si>
    <t>2,166</t>
  </si>
  <si>
    <t>1,972</t>
  </si>
  <si>
    <t>1,566</t>
  </si>
  <si>
    <t>1,520</t>
  </si>
  <si>
    <t>1,299</t>
  </si>
  <si>
    <t>1,366</t>
  </si>
  <si>
    <t>1,083</t>
  </si>
  <si>
    <t>1,079</t>
  </si>
  <si>
    <t>1,508</t>
  </si>
  <si>
    <t>Total Non-Interest Expense</t>
  </si>
  <si>
    <t>24,219</t>
  </si>
  <si>
    <t>23,661</t>
  </si>
  <si>
    <t>23,799</t>
  </si>
  <si>
    <t>22,143</t>
  </si>
  <si>
    <t>22,306</t>
  </si>
  <si>
    <t>23,396</t>
  </si>
  <si>
    <t>22,104</t>
  </si>
  <si>
    <t>20,351</t>
  </si>
  <si>
    <t>21,092</t>
  </si>
  <si>
    <t>20,402</t>
  </si>
  <si>
    <t>19,931</t>
  </si>
  <si>
    <t>19,253</t>
  </si>
  <si>
    <t>19,131</t>
  </si>
  <si>
    <t>18,676</t>
  </si>
  <si>
    <t>19,072</t>
  </si>
  <si>
    <t>17,744</t>
  </si>
  <si>
    <t>16,987</t>
  </si>
  <si>
    <t>17,482</t>
  </si>
  <si>
    <t>18,697</t>
  </si>
  <si>
    <t>18,805</t>
  </si>
  <si>
    <t>18,402</t>
  </si>
  <si>
    <t>18,206</t>
  </si>
  <si>
    <t>17,994</t>
  </si>
  <si>
    <t>17,237</t>
  </si>
  <si>
    <t>23,633</t>
  </si>
  <si>
    <t>17,962</t>
  </si>
  <si>
    <t>15,159</t>
  </si>
  <si>
    <t>17,298</t>
  </si>
  <si>
    <t>15,294</t>
  </si>
  <si>
    <t>16,143</t>
  </si>
  <si>
    <t>12,998</t>
  </si>
  <si>
    <t>12,048</t>
  </si>
  <si>
    <t>10,938</t>
  </si>
  <si>
    <t>10,182</t>
  </si>
  <si>
    <t>12,794</t>
  </si>
  <si>
    <t>14,187</t>
  </si>
  <si>
    <t>15,282</t>
  </si>
  <si>
    <t>17,725</t>
  </si>
  <si>
    <t>-62</t>
  </si>
  <si>
    <t>-118</t>
  </si>
  <si>
    <t>-121</t>
  </si>
  <si>
    <t>-236</t>
  </si>
  <si>
    <t>-259</t>
  </si>
  <si>
    <t>-317</t>
  </si>
  <si>
    <t>72</t>
  </si>
  <si>
    <t>-175</t>
  </si>
  <si>
    <t>-665</t>
  </si>
  <si>
    <t>-420</t>
  </si>
  <si>
    <t>-176</t>
  </si>
  <si>
    <t>-47</t>
  </si>
  <si>
    <t>-73</t>
  </si>
  <si>
    <t>-119</t>
  </si>
  <si>
    <t>-137</t>
  </si>
  <si>
    <t>-76</t>
  </si>
  <si>
    <t>-185</t>
  </si>
  <si>
    <t>-28</t>
  </si>
  <si>
    <t>-276</t>
  </si>
  <si>
    <t>Other Unusual Items</t>
  </si>
  <si>
    <t>323</t>
  </si>
  <si>
    <t>119</t>
  </si>
  <si>
    <t>-741</t>
  </si>
  <si>
    <t>-2,598</t>
  </si>
  <si>
    <t>100</t>
  </si>
  <si>
    <t>2,712</t>
  </si>
  <si>
    <t>18,743</t>
  </si>
  <si>
    <t>18,284</t>
  </si>
  <si>
    <t>18,408</t>
  </si>
  <si>
    <t>17,375</t>
  </si>
  <si>
    <t>16,978</t>
  </si>
  <si>
    <t>23,435</t>
  </si>
  <si>
    <t>17,293</t>
  </si>
  <si>
    <t>11,326</t>
  </si>
  <si>
    <t>16,733</t>
  </si>
  <si>
    <t>17,586</t>
  </si>
  <si>
    <t>15,967</t>
  </si>
  <si>
    <t>13,237</t>
  </si>
  <si>
    <t>12,001</t>
  </si>
  <si>
    <t>10,865</t>
  </si>
  <si>
    <t>10,063</t>
  </si>
  <si>
    <t>12,657</t>
  </si>
  <si>
    <t>14,111</t>
  </si>
  <si>
    <t>15,097</t>
  </si>
  <si>
    <t>17,697</t>
  </si>
  <si>
    <t>4,350</t>
  </si>
  <si>
    <t>3,297</t>
  </si>
  <si>
    <t>3,765</t>
  </si>
  <si>
    <t>3,370</t>
  </si>
  <si>
    <t>4,080</t>
  </si>
  <si>
    <t>5,286</t>
  </si>
  <si>
    <t>3,874</t>
  </si>
  <si>
    <t>2,019</t>
  </si>
  <si>
    <t>3,582</t>
  </si>
  <si>
    <t>3,114</t>
  </si>
  <si>
    <t>3,345</t>
  </si>
  <si>
    <t>2,229</t>
  </si>
  <si>
    <t>2,264</t>
  </si>
  <si>
    <t>2,216</t>
  </si>
  <si>
    <t>1,781</t>
  </si>
  <si>
    <t>2,258</t>
  </si>
  <si>
    <t>2,424</t>
  </si>
  <si>
    <t>3,149</t>
  </si>
  <si>
    <t>3,397</t>
  </si>
  <si>
    <t>14,393</t>
  </si>
  <si>
    <t>14,987</t>
  </si>
  <si>
    <t>14,643</t>
  </si>
  <si>
    <t>14,005</t>
  </si>
  <si>
    <t>12,898</t>
  </si>
  <si>
    <t>18,149</t>
  </si>
  <si>
    <t>13,419</t>
  </si>
  <si>
    <t>9,307</t>
  </si>
  <si>
    <t>13,151</t>
  </si>
  <si>
    <t>14,472</t>
  </si>
  <si>
    <t>12,622</t>
  </si>
  <si>
    <t>11,008</t>
  </si>
  <si>
    <t>9,737</t>
  </si>
  <si>
    <t>8,649</t>
  </si>
  <si>
    <t>8,282</t>
  </si>
  <si>
    <t>10,399</t>
  </si>
  <si>
    <t>11,687</t>
  </si>
  <si>
    <t>11,948</t>
  </si>
  <si>
    <t>14,300</t>
  </si>
  <si>
    <t>Preferred Dividends &amp; Other Adjustments</t>
  </si>
  <si>
    <t>350</t>
  </si>
  <si>
    <t>357</t>
  </si>
  <si>
    <t>326</t>
  </si>
  <si>
    <t>336</t>
  </si>
  <si>
    <t>431</t>
  </si>
  <si>
    <t>477</t>
  </si>
  <si>
    <t>436</t>
  </si>
  <si>
    <t>466</t>
  </si>
  <si>
    <t>461</t>
  </si>
  <si>
    <t>429</t>
  </si>
  <si>
    <t>411</t>
  </si>
  <si>
    <t>482</t>
  </si>
  <si>
    <t>454</t>
  </si>
  <si>
    <t>437</t>
  </si>
  <si>
    <t>472</t>
  </si>
  <si>
    <t>458</t>
  </si>
  <si>
    <t>452</t>
  </si>
  <si>
    <t>449</t>
  </si>
  <si>
    <t>14,043</t>
  </si>
  <si>
    <t>14,630</t>
  </si>
  <si>
    <t>14,317</t>
  </si>
  <si>
    <t>13,669</t>
  </si>
  <si>
    <t>12,537</t>
  </si>
  <si>
    <t>17,718</t>
  </si>
  <si>
    <t>12,942</t>
  </si>
  <si>
    <t>8,871</t>
  </si>
  <si>
    <t>12,685</t>
  </si>
  <si>
    <t>14,011</t>
  </si>
  <si>
    <t>12,193</t>
  </si>
  <si>
    <t>10,597</t>
  </si>
  <si>
    <t>9,255</t>
  </si>
  <si>
    <t>8,195</t>
  </si>
  <si>
    <t>7,845</t>
  </si>
  <si>
    <t>9,927</t>
  </si>
  <si>
    <t>11,229</t>
  </si>
  <si>
    <t>11,496</t>
  </si>
  <si>
    <t>13,851</t>
  </si>
  <si>
    <t>11.59%</t>
  </si>
  <si>
    <t>-17.42%</t>
  </si>
  <si>
    <t>9.12%</t>
  </si>
  <si>
    <t>50.48%</t>
  </si>
  <si>
    <t>-1.92%</t>
  </si>
  <si>
    <t>25.41%</t>
  </si>
  <si>
    <t>6.31%</t>
  </si>
  <si>
    <t>-15.45%</t>
  </si>
  <si>
    <t>35.06%</t>
  </si>
  <si>
    <t>67.33%</t>
  </si>
  <si>
    <t>52.40%</t>
  </si>
  <si>
    <t>5.86%</t>
  </si>
  <si>
    <t>-16.68%</t>
  </si>
  <si>
    <t>-27.61%</t>
  </si>
  <si>
    <t>-42.08%</t>
  </si>
  <si>
    <t>-14.31%</t>
  </si>
  <si>
    <t>23.76%</t>
  </si>
  <si>
    <t>154.92%</t>
  </si>
  <si>
    <t>399.13%</t>
  </si>
  <si>
    <t>Basic Shares Outstanding</t>
  </si>
  <si>
    <t>2,789</t>
  </si>
  <si>
    <t>2,819</t>
  </si>
  <si>
    <t>2,837</t>
  </si>
  <si>
    <t>2,861</t>
  </si>
  <si>
    <t>2,890</t>
  </si>
  <si>
    <t>2,908</t>
  </si>
  <si>
    <t>2,914</t>
  </si>
  <si>
    <t>2,928</t>
  </si>
  <si>
    <t>2,944</t>
  </si>
  <si>
    <t>2,969</t>
  </si>
  <si>
    <t>2,963</t>
  </si>
  <si>
    <t>2,961</t>
  </si>
  <si>
    <t>2,962</t>
  </si>
  <si>
    <t>2,977</t>
  </si>
  <si>
    <t>3,000</t>
  </si>
  <si>
    <t>3,037</t>
  </si>
  <si>
    <t>3,074</t>
  </si>
  <si>
    <t>Diluted Shares Outstanding</t>
  </si>
  <si>
    <t>2,768</t>
  </si>
  <si>
    <t>2,794</t>
  </si>
  <si>
    <t>2,824</t>
  </si>
  <si>
    <t>2,842</t>
  </si>
  <si>
    <t>2,866</t>
  </si>
  <si>
    <t>2,895</t>
  </si>
  <si>
    <t>2,913</t>
  </si>
  <si>
    <t>2,919</t>
  </si>
  <si>
    <t>2,932</t>
  </si>
  <si>
    <t>2,948</t>
  </si>
  <si>
    <t>2,973</t>
  </si>
  <si>
    <t>2,967</t>
  </si>
  <si>
    <t>2,965</t>
  </si>
  <si>
    <t>2,966</t>
  </si>
  <si>
    <t>2,981</t>
  </si>
  <si>
    <t>2,982</t>
  </si>
  <si>
    <t>3,005</t>
  </si>
  <si>
    <t>3,042</t>
  </si>
  <si>
    <t>3,079</t>
  </si>
  <si>
    <t>-3.43%</t>
  </si>
  <si>
    <t>-3.50%</t>
  </si>
  <si>
    <t>-3.04%</t>
  </si>
  <si>
    <t>-2.63%</t>
  </si>
  <si>
    <t>-2.26%</t>
  </si>
  <si>
    <t>-1.81%</t>
  </si>
  <si>
    <t>-2.02%</t>
  </si>
  <si>
    <t>-1.62%</t>
  </si>
  <si>
    <t>-1.12%</t>
  </si>
  <si>
    <t>-0.61%</t>
  </si>
  <si>
    <t>-0.28%</t>
  </si>
  <si>
    <t>-0.49%</t>
  </si>
  <si>
    <t>-1.32%</t>
  </si>
  <si>
    <t>-2.48%</t>
  </si>
  <si>
    <t>-3.18%</t>
  </si>
  <si>
    <t>-3.35%</t>
  </si>
  <si>
    <t>-2.52%</t>
  </si>
  <si>
    <t>-1.27%</t>
  </si>
  <si>
    <t>-0.70%</t>
  </si>
  <si>
    <t>5.08</t>
  </si>
  <si>
    <t>5.25</t>
  </si>
  <si>
    <t>4.82</t>
  </si>
  <si>
    <t>4.38</t>
  </si>
  <si>
    <t>6.13</t>
  </si>
  <si>
    <t>4.45</t>
  </si>
  <si>
    <t>3.04</t>
  </si>
  <si>
    <t>4.33</t>
  </si>
  <si>
    <t>4.76</t>
  </si>
  <si>
    <t>4.11</t>
  </si>
  <si>
    <t>3.58</t>
  </si>
  <si>
    <t>3.13</t>
  </si>
  <si>
    <t>2.77</t>
  </si>
  <si>
    <t>2.64</t>
  </si>
  <si>
    <t>3.33</t>
  </si>
  <si>
    <t>3.74</t>
  </si>
  <si>
    <t>3.79</t>
  </si>
  <si>
    <t>4.51</t>
  </si>
  <si>
    <t>5.07</t>
  </si>
  <si>
    <t>5.24</t>
  </si>
  <si>
    <t>4.81</t>
  </si>
  <si>
    <t>4.37</t>
  </si>
  <si>
    <t>6.12</t>
  </si>
  <si>
    <t>4.44</t>
  </si>
  <si>
    <t>4.75</t>
  </si>
  <si>
    <t>4.10</t>
  </si>
  <si>
    <t>3.12</t>
  </si>
  <si>
    <t>2.76</t>
  </si>
  <si>
    <t>2.63</t>
  </si>
  <si>
    <t>3.78</t>
  </si>
  <si>
    <t>4.50</t>
  </si>
  <si>
    <t>16.02%</t>
  </si>
  <si>
    <t>-14.38%</t>
  </si>
  <si>
    <t>14.19%</t>
  </si>
  <si>
    <t>58.18%</t>
  </si>
  <si>
    <t>0.92%</t>
  </si>
  <si>
    <t>28.84%</t>
  </si>
  <si>
    <t>8.29%</t>
  </si>
  <si>
    <t>-15.02%</t>
  </si>
  <si>
    <t>38.78%</t>
  </si>
  <si>
    <t>72.10%</t>
  </si>
  <si>
    <t>55.89%</t>
  </si>
  <si>
    <t>7.43%</t>
  </si>
  <si>
    <t>-16.58%</t>
  </si>
  <si>
    <t>-26.98%</t>
  </si>
  <si>
    <t>-41.56%</t>
  </si>
  <si>
    <t>-12.19%</t>
  </si>
  <si>
    <t>28.08%</t>
  </si>
  <si>
    <t>173.91%</t>
  </si>
  <si>
    <t>472.61%</t>
  </si>
  <si>
    <t>Dividend Per Share</t>
  </si>
  <si>
    <t>1.500</t>
  </si>
  <si>
    <t>1.400</t>
  </si>
  <si>
    <t>1.250</t>
  </si>
  <si>
    <t>1.150</t>
  </si>
  <si>
    <t>1.050</t>
  </si>
  <si>
    <t>1.000</t>
  </si>
  <si>
    <t>0.900</t>
  </si>
  <si>
    <t>Dividend Growth</t>
  </si>
  <si>
    <t>20.00%</t>
  </si>
  <si>
    <t>21.74%</t>
  </si>
  <si>
    <t>19.05%</t>
  </si>
  <si>
    <t>15.00%</t>
  </si>
  <si>
    <t>5.00%</t>
  </si>
  <si>
    <t>11.11%</t>
  </si>
  <si>
    <t>23.21%</t>
  </si>
  <si>
    <t>18.03%</t>
  </si>
  <si>
    <t>20.45%</t>
  </si>
  <si>
    <t>19.40%</t>
  </si>
  <si>
    <t>24.03%</t>
  </si>
  <si>
    <t>22.56%</t>
  </si>
  <si>
    <t>22.40%</t>
  </si>
  <si>
    <t>17.83%</t>
  </si>
  <si>
    <t>21.41%</t>
  </si>
  <si>
    <t>17.71%</t>
  </si>
  <si>
    <t>20.95%</t>
  </si>
  <si>
    <t>16.84%</t>
  </si>
  <si>
    <t>18.87%</t>
  </si>
  <si>
    <t>20.40%</t>
  </si>
  <si>
    <t>17.70%</t>
  </si>
  <si>
    <t>17.84%</t>
  </si>
  <si>
    <t>17.18%</t>
  </si>
  <si>
    <t>20.86%</t>
  </si>
  <si>
    <t>19.20%</t>
  </si>
  <si>
    <t>35,366</t>
  </si>
  <si>
    <t>34,873</t>
  </si>
  <si>
    <t>34,066</t>
  </si>
  <si>
    <t>35,977</t>
  </si>
  <si>
    <t>37,491</t>
  </si>
  <si>
    <t>36,854</t>
  </si>
  <si>
    <t>36,285</t>
  </si>
  <si>
    <t>35,629</t>
  </si>
  <si>
    <t>33,624</t>
  </si>
  <si>
    <t>32,354</t>
  </si>
  <si>
    <t>28,655</t>
  </si>
  <si>
    <t>25,075</t>
  </si>
  <si>
    <t>19,621</t>
  </si>
  <si>
    <t>14,975</t>
  </si>
  <si>
    <t>12,894</t>
  </si>
  <si>
    <t>12,554</t>
  </si>
  <si>
    <t>12,336</t>
  </si>
  <si>
    <t>11,387</t>
  </si>
  <si>
    <t>11,395</t>
  </si>
  <si>
    <t>Total Interest Income</t>
  </si>
  <si>
    <t>20,133</t>
  </si>
  <si>
    <t>20,203</t>
  </si>
  <si>
    <t>19,623</t>
  </si>
  <si>
    <t>21,618</t>
  </si>
  <si>
    <t>23,524</t>
  </si>
  <si>
    <t>23,152</t>
  </si>
  <si>
    <t>22,253</t>
  </si>
  <si>
    <t>21,683</t>
  </si>
  <si>
    <t>19,245</t>
  </si>
  <si>
    <t>18,196</t>
  </si>
  <si>
    <t>14,207</t>
  </si>
  <si>
    <t>10,394</t>
  </si>
  <si>
    <t>5,856</t>
  </si>
  <si>
    <t>2,531</t>
  </si>
  <si>
    <t>1,322</t>
  </si>
  <si>
    <t>1,144</t>
  </si>
  <si>
    <t>1,242</t>
  </si>
  <si>
    <t>1,154</t>
  </si>
  <si>
    <t>1,198</t>
  </si>
  <si>
    <t>Total Interest Expense</t>
  </si>
  <si>
    <t>15,233</t>
  </si>
  <si>
    <t>14,670</t>
  </si>
  <si>
    <t>14,443</t>
  </si>
  <si>
    <t>14,359</t>
  </si>
  <si>
    <t>13,967</t>
  </si>
  <si>
    <t>13,702</t>
  </si>
  <si>
    <t>14,032</t>
  </si>
  <si>
    <t>13,946</t>
  </si>
  <si>
    <t>14,379</t>
  </si>
  <si>
    <t>14,158</t>
  </si>
  <si>
    <t>14,448</t>
  </si>
  <si>
    <t>14,681</t>
  </si>
  <si>
    <t>13,765</t>
  </si>
  <si>
    <t>12,444</t>
  </si>
  <si>
    <t>11,572</t>
  </si>
  <si>
    <t>11,410</t>
  </si>
  <si>
    <t>11,094</t>
  </si>
  <si>
    <t>10,233</t>
  </si>
  <si>
    <t>10,197</t>
  </si>
  <si>
    <t>9.06%</t>
  </si>
  <si>
    <t>7.07%</t>
  </si>
  <si>
    <t>2.93%</t>
  </si>
  <si>
    <t>2.96%</t>
  </si>
  <si>
    <t>-2.86%</t>
  </si>
  <si>
    <t>-3.22%</t>
  </si>
  <si>
    <t>-2.88%</t>
  </si>
  <si>
    <t>-5.01%</t>
  </si>
  <si>
    <t>13.77%</t>
  </si>
  <si>
    <t>24.85%</t>
  </si>
  <si>
    <t>28.67%</t>
  </si>
  <si>
    <t>24.08%</t>
  </si>
  <si>
    <t>21.61%</t>
  </si>
  <si>
    <t>13.48%</t>
  </si>
  <si>
    <t>11.29%</t>
  </si>
  <si>
    <t>9.53%</t>
  </si>
  <si>
    <t>-5.67%</t>
  </si>
  <si>
    <t>-15.94%</t>
  </si>
  <si>
    <t>-1,010</t>
  </si>
  <si>
    <t>-1,163</t>
  </si>
  <si>
    <t>-1,007</t>
  </si>
  <si>
    <t>-1,429</t>
  </si>
  <si>
    <t>-1,115</t>
  </si>
  <si>
    <t>-1,000</t>
  </si>
  <si>
    <t>-1,066</t>
  </si>
  <si>
    <t>-1,905</t>
  </si>
  <si>
    <t>-1,228</t>
  </si>
  <si>
    <t>-950</t>
  </si>
  <si>
    <t>-1,143</t>
  </si>
  <si>
    <t>232</t>
  </si>
  <si>
    <t>-337</t>
  </si>
  <si>
    <t>-502</t>
  </si>
  <si>
    <t>-860</t>
  </si>
  <si>
    <t>-245</t>
  </si>
  <si>
    <t>-282</t>
  </si>
  <si>
    <t>-279</t>
  </si>
  <si>
    <t>13,865</t>
  </si>
  <si>
    <t>12,956</t>
  </si>
  <si>
    <t>13,930</t>
  </si>
  <si>
    <t>12,417</t>
  </si>
  <si>
    <t>12,493</t>
  </si>
  <si>
    <t>12,675</t>
  </si>
  <si>
    <t>12,852</t>
  </si>
  <si>
    <t>11,518</t>
  </si>
  <si>
    <t>12,016</t>
  </si>
  <si>
    <t>11,989</t>
  </si>
  <si>
    <t>12,953</t>
  </si>
  <si>
    <t>9,619</t>
  </si>
  <si>
    <t>11,074</t>
  </si>
  <si>
    <t>10,746</t>
  </si>
  <si>
    <t>12,516</t>
  </si>
  <si>
    <t>10,895</t>
  </si>
  <si>
    <t>11,954</t>
  </si>
  <si>
    <t>11,512</t>
  </si>
  <si>
    <t>12,900</t>
  </si>
  <si>
    <t>12,855</t>
  </si>
  <si>
    <t>11,793</t>
  </si>
  <si>
    <t>12,923</t>
  </si>
  <si>
    <t>10,988</t>
  </si>
  <si>
    <t>11,378</t>
  </si>
  <si>
    <t>11,675</t>
  </si>
  <si>
    <t>11,786</t>
  </si>
  <si>
    <t>9,613</t>
  </si>
  <si>
    <t>10,788</t>
  </si>
  <si>
    <t>11,039</t>
  </si>
  <si>
    <t>11,810</t>
  </si>
  <si>
    <t>9,851</t>
  </si>
  <si>
    <t>10,737</t>
  </si>
  <si>
    <t>10,244</t>
  </si>
  <si>
    <t>11,656</t>
  </si>
  <si>
    <t>10,650</t>
  </si>
  <si>
    <t>11,672</t>
  </si>
  <si>
    <t>11,233</t>
  </si>
  <si>
    <t>12,624</t>
  </si>
  <si>
    <t>12.98%</t>
  </si>
  <si>
    <t>1.01%</t>
  </si>
  <si>
    <t>9.65%</t>
  </si>
  <si>
    <t>14.30%</t>
  </si>
  <si>
    <t>5.47%</t>
  </si>
  <si>
    <t>5.76%</t>
  </si>
  <si>
    <t>-0.20%</t>
  </si>
  <si>
    <t>-2.42%</t>
  </si>
  <si>
    <t>0.47%</t>
  </si>
  <si>
    <t>7.76%</t>
  </si>
  <si>
    <t>1.32%</t>
  </si>
  <si>
    <t>-7.50%</t>
  </si>
  <si>
    <t>-8.01%</t>
  </si>
  <si>
    <t>-8.80%</t>
  </si>
  <si>
    <t>-7.67%</t>
  </si>
  <si>
    <t>8.17%</t>
  </si>
  <si>
    <t>14.35%</t>
  </si>
  <si>
    <t>-2.14%</t>
  </si>
  <si>
    <t>18.68%</t>
  </si>
  <si>
    <t>28,088</t>
  </si>
  <si>
    <t>26,463</t>
  </si>
  <si>
    <t>27,366</t>
  </si>
  <si>
    <t>25,347</t>
  </si>
  <si>
    <t>25,345</t>
  </si>
  <si>
    <t>25,377</t>
  </si>
  <si>
    <t>25,818</t>
  </si>
  <si>
    <t>23,559</t>
  </si>
  <si>
    <t>25,167</t>
  </si>
  <si>
    <t>25,197</t>
  </si>
  <si>
    <t>26,258</t>
  </si>
  <si>
    <t>24,532</t>
  </si>
  <si>
    <t>24,502</t>
  </si>
  <si>
    <t>22,688</t>
  </si>
  <si>
    <t>23,228</t>
  </si>
  <si>
    <t>22,060</t>
  </si>
  <si>
    <t>22,766</t>
  </si>
  <si>
    <t>21,466</t>
  </si>
  <si>
    <t>22,821</t>
  </si>
  <si>
    <t>1,295</t>
  </si>
  <si>
    <t>1,592</t>
  </si>
  <si>
    <t>1,480</t>
  </si>
  <si>
    <t>1,452</t>
  </si>
  <si>
    <t>1,542</t>
  </si>
  <si>
    <t>1,319</t>
  </si>
  <si>
    <t>1,104</t>
  </si>
  <si>
    <t>1,125</t>
  </si>
  <si>
    <t>931</t>
  </si>
  <si>
    <t>1,092</t>
  </si>
  <si>
    <t>898</t>
  </si>
  <si>
    <t>523</t>
  </si>
  <si>
    <t>30</t>
  </si>
  <si>
    <t>-489</t>
  </si>
  <si>
    <t>-624</t>
  </si>
  <si>
    <t>-1,621</t>
  </si>
  <si>
    <t>-1,860</t>
  </si>
  <si>
    <t>26,793</t>
  </si>
  <si>
    <t>24,871</t>
  </si>
  <si>
    <t>25,886</t>
  </si>
  <si>
    <t>23,895</t>
  </si>
  <si>
    <t>23,803</t>
  </si>
  <si>
    <t>23,869</t>
  </si>
  <si>
    <t>24,499</t>
  </si>
  <si>
    <t>22,455</t>
  </si>
  <si>
    <t>23,933</t>
  </si>
  <si>
    <t>24,072</t>
  </si>
  <si>
    <t>25,327</t>
  </si>
  <si>
    <t>23,440</t>
  </si>
  <si>
    <t>23,604</t>
  </si>
  <si>
    <t>22,165</t>
  </si>
  <si>
    <t>23,198</t>
  </si>
  <si>
    <t>22,549</t>
  </si>
  <si>
    <t>23,390</t>
  </si>
  <si>
    <t>23,087</t>
  </si>
  <si>
    <t>24,681</t>
  </si>
  <si>
    <t>12.56%</t>
  </si>
  <si>
    <t>4.20%</t>
  </si>
  <si>
    <t>5.66%</t>
  </si>
  <si>
    <t>6.41%</t>
  </si>
  <si>
    <t>-0.84%</t>
  </si>
  <si>
    <t>-3.27%</t>
  </si>
  <si>
    <t>-4.20%</t>
  </si>
  <si>
    <t>1.39%</t>
  </si>
  <si>
    <t>8.60%</t>
  </si>
  <si>
    <t>9.18%</t>
  </si>
  <si>
    <t>3.95%</t>
  </si>
  <si>
    <t>-3.99%</t>
  </si>
  <si>
    <t>-6.01%</t>
  </si>
  <si>
    <t>12.49%</t>
  </si>
  <si>
    <t>23.45%</t>
  </si>
  <si>
    <t>34.16%</t>
  </si>
  <si>
    <t>37.07%</t>
  </si>
  <si>
    <t>10,523</t>
  </si>
  <si>
    <t>10,332</t>
  </si>
  <si>
    <t>9,890</t>
  </si>
  <si>
    <t>9,187</t>
  </si>
  <si>
    <t>9,916</t>
  </si>
  <si>
    <t>9,826</t>
  </si>
  <si>
    <t>9,330</t>
  </si>
  <si>
    <t>8,574</t>
  </si>
  <si>
    <t>9,551</t>
  </si>
  <si>
    <t>9,401</t>
  </si>
  <si>
    <t>9,124</t>
  </si>
  <si>
    <t>8,496</t>
  </si>
  <si>
    <t>8,887</t>
  </si>
  <si>
    <t>8,917</t>
  </si>
  <si>
    <t>8,743</t>
  </si>
  <si>
    <t>8,068</t>
  </si>
  <si>
    <t>8,714</t>
  </si>
  <si>
    <t>8,653</t>
  </si>
  <si>
    <t>8,883</t>
  </si>
  <si>
    <t>Occupancy Expenses</t>
  </si>
  <si>
    <t>1,872</t>
  </si>
  <si>
    <t>1,836</t>
  </si>
  <si>
    <t>1,856</t>
  </si>
  <si>
    <t>-618</t>
  </si>
  <si>
    <t>1,818</t>
  </si>
  <si>
    <t>1,811</t>
  </si>
  <si>
    <t>-647</t>
  </si>
  <si>
    <t>1,795</t>
  </si>
  <si>
    <t>1,776</t>
  </si>
  <si>
    <t>1,799</t>
  </si>
  <si>
    <t>-686</t>
  </si>
  <si>
    <t>1,777</t>
  </si>
  <si>
    <t>1,748</t>
  </si>
  <si>
    <t>1,760</t>
  </si>
  <si>
    <t>-702</t>
  </si>
  <si>
    <t>1,764</t>
  </si>
  <si>
    <t>1,759</t>
  </si>
  <si>
    <t>1,830</t>
  </si>
  <si>
    <t>3,022</t>
  </si>
  <si>
    <t>4,051</t>
  </si>
  <si>
    <t>6,638</t>
  </si>
  <si>
    <t>3,011</t>
  </si>
  <si>
    <t>2,904</t>
  </si>
  <si>
    <t>3,668</t>
  </si>
  <si>
    <t>6,022</t>
  </si>
  <si>
    <t>2,722</t>
  </si>
  <si>
    <t>2,684</t>
  </si>
  <si>
    <t>3,486</t>
  </si>
  <si>
    <t>5,904</t>
  </si>
  <si>
    <t>2,576</t>
  </si>
  <si>
    <t>2,516</t>
  </si>
  <si>
    <t>3,126</t>
  </si>
  <si>
    <t>5,859</t>
  </si>
  <si>
    <t>2,197</t>
  </si>
  <si>
    <t>1,937</t>
  </si>
  <si>
    <t>1,993</t>
  </si>
  <si>
    <t>1,973</t>
  </si>
  <si>
    <t>1,580</t>
  </si>
  <si>
    <t>1,716</t>
  </si>
  <si>
    <t>1,761</t>
  </si>
  <si>
    <t>2,428</t>
  </si>
  <si>
    <t>1,682</t>
  </si>
  <si>
    <t>1,770</t>
  </si>
  <si>
    <t>2,177</t>
  </si>
  <si>
    <t>1,829</t>
  </si>
  <si>
    <t>2,063</t>
  </si>
  <si>
    <t>2,092</t>
  </si>
  <si>
    <t>1,690</t>
  </si>
  <si>
    <t>1,506</t>
  </si>
  <si>
    <t>1,765</t>
  </si>
  <si>
    <t>1,949</t>
  </si>
  <si>
    <t>1,750</t>
  </si>
  <si>
    <t>17,337</t>
  </si>
  <si>
    <t>17,183</t>
  </si>
  <si>
    <t>17,770</t>
  </si>
  <si>
    <t>16,787</t>
  </si>
  <si>
    <t>16,479</t>
  </si>
  <si>
    <t>16,309</t>
  </si>
  <si>
    <t>15,631</t>
  </si>
  <si>
    <t>15,838</t>
  </si>
  <si>
    <t>16,038</t>
  </si>
  <si>
    <t>16,238</t>
  </si>
  <si>
    <t>15,543</t>
  </si>
  <si>
    <t>15,303</t>
  </si>
  <si>
    <t>15,273</t>
  </si>
  <si>
    <t>15,319</t>
  </si>
  <si>
    <t>14,731</t>
  </si>
  <si>
    <t>14,440</t>
  </si>
  <si>
    <t>15,045</t>
  </si>
  <si>
    <t>15,515</t>
  </si>
  <si>
    <t>9,456</t>
  </si>
  <si>
    <t>7,688</t>
  </si>
  <si>
    <t>8,116</t>
  </si>
  <si>
    <t>7,108</t>
  </si>
  <si>
    <t>7,324</t>
  </si>
  <si>
    <t>7,560</t>
  </si>
  <si>
    <t>7,262</t>
  </si>
  <si>
    <t>6,824</t>
  </si>
  <si>
    <t>8,095</t>
  </si>
  <si>
    <t>8,034</t>
  </si>
  <si>
    <t>9,089</t>
  </si>
  <si>
    <t>7,897</t>
  </si>
  <si>
    <t>8,301</t>
  </si>
  <si>
    <t>6,892</t>
  </si>
  <si>
    <t>7,879</t>
  </si>
  <si>
    <t>7,818</t>
  </si>
  <si>
    <t>8,950</t>
  </si>
  <si>
    <t>8,042</t>
  </si>
  <si>
    <t>9,166</t>
  </si>
  <si>
    <t>-3,700</t>
  </si>
  <si>
    <t>3,124</t>
  </si>
  <si>
    <t>987</t>
  </si>
  <si>
    <t>572</t>
  </si>
  <si>
    <t>720</t>
  </si>
  <si>
    <t>443</t>
  </si>
  <si>
    <t>428</t>
  </si>
  <si>
    <t>663</t>
  </si>
  <si>
    <t>588</t>
  </si>
  <si>
    <t>-20</t>
  </si>
  <si>
    <t>293</t>
  </si>
  <si>
    <t>626</t>
  </si>
  <si>
    <t>928</t>
  </si>
  <si>
    <t>765</t>
  </si>
  <si>
    <t>1,219</t>
  </si>
  <si>
    <t>645</t>
  </si>
  <si>
    <t>812</t>
  </si>
  <si>
    <t>805</t>
  </si>
  <si>
    <t>1,259</t>
  </si>
  <si>
    <t>-1,182</t>
  </si>
  <si>
    <t>1,116</t>
  </si>
  <si>
    <t>7,116</t>
  </si>
  <si>
    <t>7,396</t>
  </si>
  <si>
    <t>6,665</t>
  </si>
  <si>
    <t>6,896</t>
  </si>
  <si>
    <t>6,897</t>
  </si>
  <si>
    <t>6,674</t>
  </si>
  <si>
    <t>3,144</t>
  </si>
  <si>
    <t>7,802</t>
  </si>
  <si>
    <t>7,408</t>
  </si>
  <si>
    <t>8,161</t>
  </si>
  <si>
    <t>7,132</t>
  </si>
  <si>
    <t>7,082</t>
  </si>
  <si>
    <t>6,247</t>
  </si>
  <si>
    <t>7,067</t>
  </si>
  <si>
    <t>7,013</t>
  </si>
  <si>
    <t>7,691</t>
  </si>
  <si>
    <t>9,224</t>
  </si>
  <si>
    <t>8,050</t>
  </si>
  <si>
    <t>291</t>
  </si>
  <si>
    <t>406</t>
  </si>
  <si>
    <t>266</t>
  </si>
  <si>
    <t>516</t>
  </si>
  <si>
    <t>532</t>
  </si>
  <si>
    <t>306</t>
  </si>
  <si>
    <t>505</t>
  </si>
  <si>
    <t>503</t>
  </si>
  <si>
    <t>467</t>
  </si>
  <si>
    <t>240</t>
  </si>
  <si>
    <t>260</t>
  </si>
  <si>
    <t>490</t>
  </si>
  <si>
    <t>262</t>
  </si>
  <si>
    <t>8,040</t>
  </si>
  <si>
    <t>6,825</t>
  </si>
  <si>
    <t>6,990</t>
  </si>
  <si>
    <t>6,399</t>
  </si>
  <si>
    <t>6,380</t>
  </si>
  <si>
    <t>6,582</t>
  </si>
  <si>
    <t>6,142</t>
  </si>
  <si>
    <t>2,838</t>
  </si>
  <si>
    <t>7,270</t>
  </si>
  <si>
    <t>7,102</t>
  </si>
  <si>
    <t>7,656</t>
  </si>
  <si>
    <t>6,904</t>
  </si>
  <si>
    <t>6,579</t>
  </si>
  <si>
    <t>5,932</t>
  </si>
  <si>
    <t>6,600</t>
  </si>
  <si>
    <t>6,773</t>
  </si>
  <si>
    <t>7,260</t>
  </si>
  <si>
    <t>8,964</t>
  </si>
  <si>
    <t>22.81%</t>
  </si>
  <si>
    <t>3.17%</t>
  </si>
  <si>
    <t>10.82%</t>
  </si>
  <si>
    <t>111.99%</t>
  </si>
  <si>
    <t>-11.61%</t>
  </si>
  <si>
    <t>-6.90%</t>
  </si>
  <si>
    <t>-18.22%</t>
  </si>
  <si>
    <t>-55.92%</t>
  </si>
  <si>
    <t>10.17%</t>
  </si>
  <si>
    <t>18.58%</t>
  </si>
  <si>
    <t>15.48%</t>
  </si>
  <si>
    <t>1.70%</t>
  </si>
  <si>
    <t>-7.92%</t>
  </si>
  <si>
    <t>-32.27%</t>
  </si>
  <si>
    <t>-12.21%</t>
  </si>
  <si>
    <t>28.21%</t>
  </si>
  <si>
    <t>57.57%</t>
  </si>
  <si>
    <t>161.08%</t>
  </si>
  <si>
    <t>100.75%</t>
  </si>
  <si>
    <t>7,466</t>
  </si>
  <si>
    <t>7,581</t>
  </si>
  <si>
    <t>7,678</t>
  </si>
  <si>
    <t>7,738</t>
  </si>
  <si>
    <t>7,898</t>
  </si>
  <si>
    <t>7,968</t>
  </si>
  <si>
    <t>7,991</t>
  </si>
  <si>
    <t>8,017</t>
  </si>
  <si>
    <t>8,041</t>
  </si>
  <si>
    <t>8,066</t>
  </si>
  <si>
    <t>8,088</t>
  </si>
  <si>
    <t>8,108</t>
  </si>
  <si>
    <t>8,122</t>
  </si>
  <si>
    <t>8,137</t>
  </si>
  <si>
    <t>8,227</t>
  </si>
  <si>
    <t>8,431</t>
  </si>
  <si>
    <t>8,621</t>
  </si>
  <si>
    <t>8,700</t>
  </si>
  <si>
    <t>7,627</t>
  </si>
  <si>
    <t>7,652</t>
  </si>
  <si>
    <t>7,771</t>
  </si>
  <si>
    <t>7,844</t>
  </si>
  <si>
    <t>7,902</t>
  </si>
  <si>
    <t>7,961</t>
  </si>
  <si>
    <t>8,031</t>
  </si>
  <si>
    <t>8,063</t>
  </si>
  <si>
    <t>8,076</t>
  </si>
  <si>
    <t>8,081</t>
  </si>
  <si>
    <t>8,182</t>
  </si>
  <si>
    <t>8,156</t>
  </si>
  <si>
    <t>8,163</t>
  </si>
  <si>
    <t>8,202</t>
  </si>
  <si>
    <t>8,305</t>
  </si>
  <si>
    <t>8,493</t>
  </si>
  <si>
    <t>8,736</t>
  </si>
  <si>
    <t>8,756</t>
  </si>
  <si>
    <t>-3.48%</t>
  </si>
  <si>
    <t>-3.89%</t>
  </si>
  <si>
    <t>-3.25%</t>
  </si>
  <si>
    <t>-2.71%</t>
  </si>
  <si>
    <t>-2.15%</t>
  </si>
  <si>
    <t>-1.48%</t>
  </si>
  <si>
    <t>-1.84%</t>
  </si>
  <si>
    <t>-1.14%</t>
  </si>
  <si>
    <t>-1.04%</t>
  </si>
  <si>
    <t>-1.01%</t>
  </si>
  <si>
    <t>-0.24%</t>
  </si>
  <si>
    <t>-1.79%</t>
  </si>
  <si>
    <t>-3.91%</t>
  </si>
  <si>
    <t>-6.55%</t>
  </si>
  <si>
    <t>-6.32%</t>
  </si>
  <si>
    <t>-5.47%</t>
  </si>
  <si>
    <t>-3.24%</t>
  </si>
  <si>
    <t>-0.37%</t>
  </si>
  <si>
    <t>-1.21%</t>
  </si>
  <si>
    <t>1.08</t>
  </si>
  <si>
    <t>0.90</t>
  </si>
  <si>
    <t>0.91</t>
  </si>
  <si>
    <t>0.83</t>
  </si>
  <si>
    <t>0.82</t>
  </si>
  <si>
    <t>0.77</t>
  </si>
  <si>
    <t>0.36</t>
  </si>
  <si>
    <t>0.88</t>
  </si>
  <si>
    <t>0.95</t>
  </si>
  <si>
    <t>0.85</t>
  </si>
  <si>
    <t>0.81</t>
  </si>
  <si>
    <t>0.73</t>
  </si>
  <si>
    <t>0.86</t>
  </si>
  <si>
    <t>1.04</t>
  </si>
  <si>
    <t>0.87</t>
  </si>
  <si>
    <t>0.60</t>
  </si>
  <si>
    <t>1.06</t>
  </si>
  <si>
    <t>0.89</t>
  </si>
  <si>
    <t>0.76</t>
  </si>
  <si>
    <t>0.33</t>
  </si>
  <si>
    <t>0.94</t>
  </si>
  <si>
    <t>0.80</t>
  </si>
  <si>
    <t>31.47%</t>
  </si>
  <si>
    <t>7.23%</t>
  </si>
  <si>
    <t>18.42%</t>
  </si>
  <si>
    <t>142.68%</t>
  </si>
  <si>
    <t>-10.29%</t>
  </si>
  <si>
    <t>-5.68%</t>
  </si>
  <si>
    <t>-19.36%</t>
  </si>
  <si>
    <t>-60.69%</t>
  </si>
  <si>
    <t>20.55%</t>
  </si>
  <si>
    <t>17.82%</t>
  </si>
  <si>
    <t>6.88%</t>
  </si>
  <si>
    <t>-4.71%</t>
  </si>
  <si>
    <t>-29.30%</t>
  </si>
  <si>
    <t>-6.98%</t>
  </si>
  <si>
    <t>34.67%</t>
  </si>
  <si>
    <t>67.18%</t>
  </si>
  <si>
    <t>179.07%</t>
  </si>
  <si>
    <t>115.00%</t>
  </si>
  <si>
    <t>0.280</t>
  </si>
  <si>
    <t>0.260</t>
  </si>
  <si>
    <t>0.240</t>
  </si>
  <si>
    <t>0.220</t>
  </si>
  <si>
    <t>0.210</t>
  </si>
  <si>
    <t>0.180</t>
  </si>
  <si>
    <t>7.69%</t>
  </si>
  <si>
    <t>8.33%</t>
  </si>
  <si>
    <t>9.09%</t>
  </si>
  <si>
    <t>4.76%</t>
  </si>
  <si>
    <t>16.67%</t>
  </si>
  <si>
    <t>10.44%</t>
  </si>
  <si>
    <t>7.44%</t>
  </si>
  <si>
    <t>8.87%</t>
  </si>
  <si>
    <t>6.23%</t>
  </si>
  <si>
    <t>5.84%</t>
  </si>
  <si>
    <t>8.77%</t>
  </si>
  <si>
    <t>8.10%</t>
  </si>
  <si>
    <t>3.62%</t>
  </si>
  <si>
    <t>7.79%</t>
  </si>
  <si>
    <t>10.21%</t>
  </si>
  <si>
    <t>9.69%</t>
  </si>
  <si>
    <t>14.69%</t>
  </si>
  <si>
    <t>9.36%</t>
  </si>
  <si>
    <t>10.31%</t>
  </si>
  <si>
    <t>10.30%</t>
  </si>
  <si>
    <t>14.07%</t>
  </si>
  <si>
    <t>Oct '25 Oct 26, 2025</t>
  </si>
  <si>
    <t>Jul '25 Jul 27, 2025</t>
  </si>
  <si>
    <t>Apr '25 Apr 27, 2025</t>
  </si>
  <si>
    <t>Jan '25 Jan 26, 2025</t>
  </si>
  <si>
    <t>Oct '24 Oct 27, 2024</t>
  </si>
  <si>
    <t>Jul '24 Jul 28, 2024</t>
  </si>
  <si>
    <t>Apr '24 Apr 28, 2024</t>
  </si>
  <si>
    <t>Jan '24 Jan 28, 2024</t>
  </si>
  <si>
    <t>Oct '23 Oct 29, 2023</t>
  </si>
  <si>
    <t>Jul '23 Jul 30, 2023</t>
  </si>
  <si>
    <t>Jan '23 Jan 29, 2023</t>
  </si>
  <si>
    <t>Oct '22 Oct 30, 2022</t>
  </si>
  <si>
    <t>May '22 May 1, 2022</t>
  </si>
  <si>
    <t>Jan '22 Jan 30, 2022</t>
  </si>
  <si>
    <t>Aug '21 Aug 1, 2021</t>
  </si>
  <si>
    <t>May '21 May 2, 2021</t>
  </si>
  <si>
    <t>57,006</t>
  </si>
  <si>
    <t>46,743</t>
  </si>
  <si>
    <t>44,062</t>
  </si>
  <si>
    <t>39,331</t>
  </si>
  <si>
    <t>35,082</t>
  </si>
  <si>
    <t>30,040</t>
  </si>
  <si>
    <t>26,044</t>
  </si>
  <si>
    <t>22,103</t>
  </si>
  <si>
    <t>18,120</t>
  </si>
  <si>
    <t>13,507</t>
  </si>
  <si>
    <t>7,192</t>
  </si>
  <si>
    <t>6,051</t>
  </si>
  <si>
    <t>5,931</t>
  </si>
  <si>
    <t>6,704</t>
  </si>
  <si>
    <t>8,288</t>
  </si>
  <si>
    <t>7,643</t>
  </si>
  <si>
    <t>7,103</t>
  </si>
  <si>
    <t>6,507</t>
  </si>
  <si>
    <t>5,661</t>
  </si>
  <si>
    <t>5,003</t>
  </si>
  <si>
    <t>62.49%</t>
  </si>
  <si>
    <t>55.60%</t>
  </si>
  <si>
    <t>69.18%</t>
  </si>
  <si>
    <t>77.94%</t>
  </si>
  <si>
    <t>93.61%</t>
  </si>
  <si>
    <t>122.40%</t>
  </si>
  <si>
    <t>262.13%</t>
  </si>
  <si>
    <t>265.28%</t>
  </si>
  <si>
    <t>205.51%</t>
  </si>
  <si>
    <t>101.48%</t>
  </si>
  <si>
    <t>-13.22%</t>
  </si>
  <si>
    <t>-20.83%</t>
  </si>
  <si>
    <t>-16.50%</t>
  </si>
  <si>
    <t>3.03%</t>
  </si>
  <si>
    <t>46.41%</t>
  </si>
  <si>
    <t>52.77%</t>
  </si>
  <si>
    <t>50.30%</t>
  </si>
  <si>
    <t>68.31%</t>
  </si>
  <si>
    <t>83.80%</t>
  </si>
  <si>
    <t>61.13%</t>
  </si>
  <si>
    <t>15,157</t>
  </si>
  <si>
    <t>12,890</t>
  </si>
  <si>
    <t>17,394</t>
  </si>
  <si>
    <t>10,608</t>
  </si>
  <si>
    <t>8,926</t>
  </si>
  <si>
    <t>5,638</t>
  </si>
  <si>
    <t>5,312</t>
  </si>
  <si>
    <t>4,720</t>
  </si>
  <si>
    <t>4,045</t>
  </si>
  <si>
    <t>2,544</t>
  </si>
  <si>
    <t>2,218</t>
  </si>
  <si>
    <t>2,754</t>
  </si>
  <si>
    <t>3,789</t>
  </si>
  <si>
    <t>2,857</t>
  </si>
  <si>
    <t>2,644</t>
  </si>
  <si>
    <t>2,472</t>
  </si>
  <si>
    <t>2,292</t>
  </si>
  <si>
    <t>2,032</t>
  </si>
  <si>
    <t>1,847</t>
  </si>
  <si>
    <t>41,849</t>
  </si>
  <si>
    <t>33,853</t>
  </si>
  <si>
    <t>26,668</t>
  </si>
  <si>
    <t>28,723</t>
  </si>
  <si>
    <t>26,156</t>
  </si>
  <si>
    <t>22,574</t>
  </si>
  <si>
    <t>20,406</t>
  </si>
  <si>
    <t>16,791</t>
  </si>
  <si>
    <t>13,400</t>
  </si>
  <si>
    <t>9,462</t>
  </si>
  <si>
    <t>4,648</t>
  </si>
  <si>
    <t>3,833</t>
  </si>
  <si>
    <t>3,177</t>
  </si>
  <si>
    <t>2,915</t>
  </si>
  <si>
    <t>5,431</t>
  </si>
  <si>
    <t>4,999</t>
  </si>
  <si>
    <t>4,631</t>
  </si>
  <si>
    <t>4,215</t>
  </si>
  <si>
    <t>3,629</t>
  </si>
  <si>
    <t>3,156</t>
  </si>
  <si>
    <t>1,134</t>
  </si>
  <si>
    <t>1,122</t>
  </si>
  <si>
    <t>1,041</t>
  </si>
  <si>
    <t>975</t>
  </si>
  <si>
    <t>897</t>
  </si>
  <si>
    <t>842</t>
  </si>
  <si>
    <t>777</t>
  </si>
  <si>
    <t>712</t>
  </si>
  <si>
    <t>689</t>
  </si>
  <si>
    <t>622</t>
  </si>
  <si>
    <t>633</t>
  </si>
  <si>
    <t>625</t>
  </si>
  <si>
    <t>631</t>
  </si>
  <si>
    <t>592</t>
  </si>
  <si>
    <t>563</t>
  </si>
  <si>
    <t>557</t>
  </si>
  <si>
    <t>526</t>
  </si>
  <si>
    <t>520</t>
  </si>
  <si>
    <t>475</t>
  </si>
  <si>
    <t>4,705</t>
  </si>
  <si>
    <t>4,291</t>
  </si>
  <si>
    <t>3,989</t>
  </si>
  <si>
    <t>3,714</t>
  </si>
  <si>
    <t>3,390</t>
  </si>
  <si>
    <t>3,090</t>
  </si>
  <si>
    <t>2,720</t>
  </si>
  <si>
    <t>2,465</t>
  </si>
  <si>
    <t>2,294</t>
  </si>
  <si>
    <t>2,040</t>
  </si>
  <si>
    <t>1,875</t>
  </si>
  <si>
    <t>1,952</t>
  </si>
  <si>
    <t>1,945</t>
  </si>
  <si>
    <t>1,824</t>
  </si>
  <si>
    <t>1,618</t>
  </si>
  <si>
    <t>1,466</t>
  </si>
  <si>
    <t>1,403</t>
  </si>
  <si>
    <t>1,245</t>
  </si>
  <si>
    <t>1,153</t>
  </si>
  <si>
    <t>1,146</t>
  </si>
  <si>
    <t>5,839</t>
  </si>
  <si>
    <t>5,413</t>
  </si>
  <si>
    <t>5,030</t>
  </si>
  <si>
    <t>4,689</t>
  </si>
  <si>
    <t>4,287</t>
  </si>
  <si>
    <t>3,932</t>
  </si>
  <si>
    <t>3,497</t>
  </si>
  <si>
    <t>2,983</t>
  </si>
  <si>
    <t>2,662</t>
  </si>
  <si>
    <t>2,508</t>
  </si>
  <si>
    <t>2,577</t>
  </si>
  <si>
    <t>2,416</t>
  </si>
  <si>
    <t>2,210</t>
  </si>
  <si>
    <t>2,029</t>
  </si>
  <si>
    <t>1,960</t>
  </si>
  <si>
    <t>1,771</t>
  </si>
  <si>
    <t>1,673</t>
  </si>
  <si>
    <t>1,621</t>
  </si>
  <si>
    <t>36,010</t>
  </si>
  <si>
    <t>28,440</t>
  </si>
  <si>
    <t>21,638</t>
  </si>
  <si>
    <t>24,034</t>
  </si>
  <si>
    <t>21,869</t>
  </si>
  <si>
    <t>18,642</t>
  </si>
  <si>
    <t>16,909</t>
  </si>
  <si>
    <t>13,614</t>
  </si>
  <si>
    <t>10,417</t>
  </si>
  <si>
    <t>6,800</t>
  </si>
  <si>
    <t>2,140</t>
  </si>
  <si>
    <t>1,256</t>
  </si>
  <si>
    <t>601</t>
  </si>
  <si>
    <t>499</t>
  </si>
  <si>
    <t>3,221</t>
  </si>
  <si>
    <t>2,970</t>
  </si>
  <si>
    <t>2,671</t>
  </si>
  <si>
    <t>2,444</t>
  </si>
  <si>
    <t>1,956</t>
  </si>
  <si>
    <t>1,535</t>
  </si>
  <si>
    <t>-63</t>
  </si>
  <si>
    <t>-64</t>
  </si>
  <si>
    <t>-65</t>
  </si>
  <si>
    <t>-66</t>
  </si>
  <si>
    <t>-68</t>
  </si>
  <si>
    <t>-60</t>
  </si>
  <si>
    <t>624</t>
  </si>
  <si>
    <t>515</t>
  </si>
  <si>
    <t>511</t>
  </si>
  <si>
    <t>444</t>
  </si>
  <si>
    <t>359</t>
  </si>
  <si>
    <t>294</t>
  </si>
  <si>
    <t>187</t>
  </si>
  <si>
    <t>150</t>
  </si>
  <si>
    <t>115</t>
  </si>
  <si>
    <t>88</t>
  </si>
  <si>
    <t>46</t>
  </si>
  <si>
    <t>18</t>
  </si>
  <si>
    <t>9</t>
  </si>
  <si>
    <t>7</t>
  </si>
  <si>
    <t>4</t>
  </si>
  <si>
    <t>679</t>
  </si>
  <si>
    <t>1,971</t>
  </si>
  <si>
    <t>-5</t>
  </si>
  <si>
    <t>5</t>
  </si>
  <si>
    <t>27</t>
  </si>
  <si>
    <t>127</t>
  </si>
  <si>
    <t>-1</t>
  </si>
  <si>
    <t>60</t>
  </si>
  <si>
    <t>-9</t>
  </si>
  <si>
    <t>-11</t>
  </si>
  <si>
    <t>11</t>
  </si>
  <si>
    <t>14</t>
  </si>
  <si>
    <t>10</t>
  </si>
  <si>
    <t>-4</t>
  </si>
  <si>
    <t>37,252</t>
  </si>
  <si>
    <t>30,941</t>
  </si>
  <si>
    <t>22,085</t>
  </si>
  <si>
    <t>24,489</t>
  </si>
  <si>
    <t>22,307</t>
  </si>
  <si>
    <t>19,152</t>
  </si>
  <si>
    <t>17,210</t>
  </si>
  <si>
    <t>13,844</t>
  </si>
  <si>
    <t>10,520</t>
  </si>
  <si>
    <t>6,982</t>
  </si>
  <si>
    <t>2,223</t>
  </si>
  <si>
    <t>1,298</t>
  </si>
  <si>
    <t>613</t>
  </si>
  <si>
    <t>3,182</t>
  </si>
  <si>
    <t>2,917</t>
  </si>
  <si>
    <t>2,630</t>
  </si>
  <si>
    <t>2,400</t>
  </si>
  <si>
    <t>1,920</t>
  </si>
  <si>
    <t>1,489</t>
  </si>
  <si>
    <t>-1,353</t>
  </si>
  <si>
    <t>684</t>
  </si>
  <si>
    <t>265</t>
  </si>
  <si>
    <t>728</t>
  </si>
  <si>
    <t>62</t>
  </si>
  <si>
    <t>69</t>
  </si>
  <si>
    <t>2</t>
  </si>
  <si>
    <t>-14</t>
  </si>
  <si>
    <t>-10</t>
  </si>
  <si>
    <t>-24</t>
  </si>
  <si>
    <t>-52</t>
  </si>
  <si>
    <t>8</t>
  </si>
  <si>
    <t>-6</t>
  </si>
  <si>
    <t>124</t>
  </si>
  <si>
    <t>37,936</t>
  </si>
  <si>
    <t>31,206</t>
  </si>
  <si>
    <t>21,910</t>
  </si>
  <si>
    <t>25,217</t>
  </si>
  <si>
    <t>22,316</t>
  </si>
  <si>
    <t>19,214</t>
  </si>
  <si>
    <t>17,279</t>
  </si>
  <si>
    <t>14,106</t>
  </si>
  <si>
    <t>10,522</t>
  </si>
  <si>
    <t>6,981</t>
  </si>
  <si>
    <t>2,209</t>
  </si>
  <si>
    <t>1,288</t>
  </si>
  <si>
    <t>1,805</t>
  </si>
  <si>
    <t>2,865</t>
  </si>
  <si>
    <t>2,638</t>
  </si>
  <si>
    <t>2,394</t>
  </si>
  <si>
    <t>2,044</t>
  </si>
  <si>
    <t>1,470</t>
  </si>
  <si>
    <t>6,026</t>
  </si>
  <si>
    <t>4,784</t>
  </si>
  <si>
    <t>3,135</t>
  </si>
  <si>
    <t>3,007</t>
  </si>
  <si>
    <t>2,615</t>
  </si>
  <si>
    <t>2,398</t>
  </si>
  <si>
    <t>1,821</t>
  </si>
  <si>
    <t>1,279</t>
  </si>
  <si>
    <t>793</t>
  </si>
  <si>
    <t>166</t>
  </si>
  <si>
    <t>-126</t>
  </si>
  <si>
    <t>-67</t>
  </si>
  <si>
    <t>-181</t>
  </si>
  <si>
    <t>-138</t>
  </si>
  <si>
    <t>174</t>
  </si>
  <si>
    <t>132</t>
  </si>
  <si>
    <t>13</t>
  </si>
  <si>
    <t>31,910</t>
  </si>
  <si>
    <t>26,422</t>
  </si>
  <si>
    <t>18,775</t>
  </si>
  <si>
    <t>22,091</t>
  </si>
  <si>
    <t>19,309</t>
  </si>
  <si>
    <t>16,599</t>
  </si>
  <si>
    <t>14,881</t>
  </si>
  <si>
    <t>12,285</t>
  </si>
  <si>
    <t>9,243</t>
  </si>
  <si>
    <t>6,188</t>
  </si>
  <si>
    <t>2,043</t>
  </si>
  <si>
    <t>1,414</t>
  </si>
  <si>
    <t>680</t>
  </si>
  <si>
    <t>656</t>
  </si>
  <si>
    <t>3,003</t>
  </si>
  <si>
    <t>2,464</t>
  </si>
  <si>
    <t>2,374</t>
  </si>
  <si>
    <t>1,912</t>
  </si>
  <si>
    <t>1,457</t>
  </si>
  <si>
    <t>65.26%</t>
  </si>
  <si>
    <t>59.18%</t>
  </si>
  <si>
    <t>26.17%</t>
  </si>
  <si>
    <t>79.82%</t>
  </si>
  <si>
    <t>108.90%</t>
  </si>
  <si>
    <t>168.25%</t>
  </si>
  <si>
    <t>628.39%</t>
  </si>
  <si>
    <t>768.81%</t>
  </si>
  <si>
    <t>1259.27%</t>
  </si>
  <si>
    <t>843.29%</t>
  </si>
  <si>
    <t>26.27%</t>
  </si>
  <si>
    <t>-52.91%</t>
  </si>
  <si>
    <t>-72.40%</t>
  </si>
  <si>
    <t>-72.37%</t>
  </si>
  <si>
    <t>-15.38%</t>
  </si>
  <si>
    <t>106.11%</t>
  </si>
  <si>
    <t>84.43%</t>
  </si>
  <si>
    <t>281.67%</t>
  </si>
  <si>
    <t>108.51%</t>
  </si>
  <si>
    <t>53.21%</t>
  </si>
  <si>
    <t>24,327</t>
  </si>
  <si>
    <t>24,366</t>
  </si>
  <si>
    <t>24,441</t>
  </si>
  <si>
    <t>24,533</t>
  </si>
  <si>
    <t>24,578</t>
  </si>
  <si>
    <t>24,620</t>
  </si>
  <si>
    <t>24,660</t>
  </si>
  <si>
    <t>24,680</t>
  </si>
  <si>
    <t>24,729</t>
  </si>
  <si>
    <t>24,700</t>
  </si>
  <si>
    <t>24,640</t>
  </si>
  <si>
    <t>24,830</t>
  </si>
  <si>
    <t>24,950</t>
  </si>
  <si>
    <t>25,060</t>
  </si>
  <si>
    <t>25,040</t>
  </si>
  <si>
    <t>24,990</t>
  </si>
  <si>
    <t>24,930</t>
  </si>
  <si>
    <t>24,840</t>
  </si>
  <si>
    <t>24,760</t>
  </si>
  <si>
    <t>24,483</t>
  </si>
  <si>
    <t>24,611</t>
  </si>
  <si>
    <t>24,706</t>
  </si>
  <si>
    <t>24,774</t>
  </si>
  <si>
    <t>24,848</t>
  </si>
  <si>
    <t>24,890</t>
  </si>
  <si>
    <t>24,900</t>
  </si>
  <si>
    <t>24,940</t>
  </si>
  <si>
    <t>24,994</t>
  </si>
  <si>
    <t>24,770</t>
  </si>
  <si>
    <t>25,160</t>
  </si>
  <si>
    <t>25,370</t>
  </si>
  <si>
    <t>25,450</t>
  </si>
  <si>
    <t>25,380</t>
  </si>
  <si>
    <t>25,320</t>
  </si>
  <si>
    <t>25,280</t>
  </si>
  <si>
    <t>25,240</t>
  </si>
  <si>
    <t>-1.18%</t>
  </si>
  <si>
    <t>-0.78%</t>
  </si>
  <si>
    <t>-0.67%</t>
  </si>
  <si>
    <t>-0.58%</t>
  </si>
  <si>
    <t>-0.04%</t>
  </si>
  <si>
    <t>0.53%</t>
  </si>
  <si>
    <t>-0.66%</t>
  </si>
  <si>
    <t>-1.85%</t>
  </si>
  <si>
    <t>-2.67%</t>
  </si>
  <si>
    <t>-1.54%</t>
  </si>
  <si>
    <t>-0.63%</t>
  </si>
  <si>
    <t>0.36%</t>
  </si>
  <si>
    <t>1.12%</t>
  </si>
  <si>
    <t>1.61%</t>
  </si>
  <si>
    <t>1.31</t>
  </si>
  <si>
    <t>0.68</t>
  </si>
  <si>
    <t>0.50</t>
  </si>
  <si>
    <t>0.37</t>
  </si>
  <si>
    <t>0.25</t>
  </si>
  <si>
    <t>0.06</t>
  </si>
  <si>
    <t>0.10</t>
  </si>
  <si>
    <t>1.30</t>
  </si>
  <si>
    <t>0.67</t>
  </si>
  <si>
    <t>0.09</t>
  </si>
  <si>
    <t>66.67%</t>
  </si>
  <si>
    <t>61.19%</t>
  </si>
  <si>
    <t>26.67%</t>
  </si>
  <si>
    <t>83.55%</t>
  </si>
  <si>
    <t>110.81%</t>
  </si>
  <si>
    <t>168.00%</t>
  </si>
  <si>
    <t>650.00%</t>
  </si>
  <si>
    <t>757.75%</t>
  </si>
  <si>
    <t>1270.37%</t>
  </si>
  <si>
    <t>861.54%</t>
  </si>
  <si>
    <t>25.00%</t>
  </si>
  <si>
    <t>-51.45%</t>
  </si>
  <si>
    <t>-72.17%</t>
  </si>
  <si>
    <t>-72.34%</t>
  </si>
  <si>
    <t>-15.79%</t>
  </si>
  <si>
    <t>103.36%</t>
  </si>
  <si>
    <t>83.02%</t>
  </si>
  <si>
    <t>276.00%</t>
  </si>
  <si>
    <t>106.52%</t>
  </si>
  <si>
    <t>51.96%</t>
  </si>
  <si>
    <t>22,115</t>
  </si>
  <si>
    <t>13,470</t>
  </si>
  <si>
    <t>26,187</t>
  </si>
  <si>
    <t>15,552</t>
  </si>
  <si>
    <t>16,814</t>
  </si>
  <si>
    <t>13,511</t>
  </si>
  <si>
    <t>14,976</t>
  </si>
  <si>
    <t>11,245</t>
  </si>
  <si>
    <t>7,054</t>
  </si>
  <si>
    <t>6,059</t>
  </si>
  <si>
    <t>2,663</t>
  </si>
  <si>
    <t>1,739</t>
  </si>
  <si>
    <t>837</t>
  </si>
  <si>
    <t>1,370</t>
  </si>
  <si>
    <t>2,760</t>
  </si>
  <si>
    <t>1,297</t>
  </si>
  <si>
    <t>2,499</t>
  </si>
  <si>
    <t>1,576</t>
  </si>
  <si>
    <t>1,784</t>
  </si>
  <si>
    <t>0.55</t>
  </si>
  <si>
    <t>0.28</t>
  </si>
  <si>
    <t>0.24</t>
  </si>
  <si>
    <t>0.07</t>
  </si>
  <si>
    <t>0.05</t>
  </si>
  <si>
    <t>0.010</t>
  </si>
  <si>
    <t>0.004</t>
  </si>
  <si>
    <t>150.00%</t>
  </si>
  <si>
    <t>73.41%</t>
  </si>
  <si>
    <t>72.42%</t>
  </si>
  <si>
    <t>60.52%</t>
  </si>
  <si>
    <t>73.03%</t>
  </si>
  <si>
    <t>74.56%</t>
  </si>
  <si>
    <t>75.15%</t>
  </si>
  <si>
    <t>78.35%</t>
  </si>
  <si>
    <t>75.97%</t>
  </si>
  <si>
    <t>73.95%</t>
  </si>
  <si>
    <t>70.05%</t>
  </si>
  <si>
    <t>64.63%</t>
  </si>
  <si>
    <t>63.34%</t>
  </si>
  <si>
    <t>53.57%</t>
  </si>
  <si>
    <t>43.48%</t>
  </si>
  <si>
    <t>65.53%</t>
  </si>
  <si>
    <t>65.41%</t>
  </si>
  <si>
    <t>65.20%</t>
  </si>
  <si>
    <t>64.78%</t>
  </si>
  <si>
    <t>64.11%</t>
  </si>
  <si>
    <t>63.08%</t>
  </si>
  <si>
    <t>63.17%</t>
  </si>
  <si>
    <t>60.84%</t>
  </si>
  <si>
    <t>49.11%</t>
  </si>
  <si>
    <t>61.11%</t>
  </si>
  <si>
    <t>62.34%</t>
  </si>
  <si>
    <t>62.06%</t>
  </si>
  <si>
    <t>64.92%</t>
  </si>
  <si>
    <t>61.59%</t>
  </si>
  <si>
    <t>57.49%</t>
  </si>
  <si>
    <t>50.34%</t>
  </si>
  <si>
    <t>29.75%</t>
  </si>
  <si>
    <t>20.76%</t>
  </si>
  <si>
    <t>10.13%</t>
  </si>
  <si>
    <t>38.86%</t>
  </si>
  <si>
    <t>37.60%</t>
  </si>
  <si>
    <t>37.56%</t>
  </si>
  <si>
    <t>34.55%</t>
  </si>
  <si>
    <t>30.68%</t>
  </si>
  <si>
    <t>55.98%</t>
  </si>
  <si>
    <t>56.53%</t>
  </si>
  <si>
    <t>42.61%</t>
  </si>
  <si>
    <t>56.17%</t>
  </si>
  <si>
    <t>55.04%</t>
  </si>
  <si>
    <t>55.26%</t>
  </si>
  <si>
    <t>57.14%</t>
  </si>
  <si>
    <t>55.58%</t>
  </si>
  <si>
    <t>51.01%</t>
  </si>
  <si>
    <t>45.81%</t>
  </si>
  <si>
    <t>28.41%</t>
  </si>
  <si>
    <t>23.37%</t>
  </si>
  <si>
    <t>11.46%</t>
  </si>
  <si>
    <t>9.79%</t>
  </si>
  <si>
    <t>19.52%</t>
  </si>
  <si>
    <t>39.29%</t>
  </si>
  <si>
    <t>34.69%</t>
  </si>
  <si>
    <t>36.48%</t>
  </si>
  <si>
    <t>33.77%</t>
  </si>
  <si>
    <t>29.12%</t>
  </si>
  <si>
    <t>38.79%</t>
  </si>
  <si>
    <t>28.82%</t>
  </si>
  <si>
    <t>59.43%</t>
  </si>
  <si>
    <t>39.54%</t>
  </si>
  <si>
    <t>47.93%</t>
  </si>
  <si>
    <t>44.98%</t>
  </si>
  <si>
    <t>57.50%</t>
  </si>
  <si>
    <t>50.88%</t>
  </si>
  <si>
    <t>38.93%</t>
  </si>
  <si>
    <t>44.86%</t>
  </si>
  <si>
    <t>37.03%</t>
  </si>
  <si>
    <t>28.74%</t>
  </si>
  <si>
    <t>-2.33%</t>
  </si>
  <si>
    <t>12.48%</t>
  </si>
  <si>
    <t>16.53%</t>
  </si>
  <si>
    <t>36.11%</t>
  </si>
  <si>
    <t>18.26%</t>
  </si>
  <si>
    <t>38.41%</t>
  </si>
  <si>
    <t>27.84%</t>
  </si>
  <si>
    <t>35.66%</t>
  </si>
  <si>
    <t>36,761</t>
  </si>
  <si>
    <t>29,109</t>
  </si>
  <si>
    <t>22,249</t>
  </si>
  <si>
    <t>24,577</t>
  </si>
  <si>
    <t>22,347</t>
  </si>
  <si>
    <t>19,075</t>
  </si>
  <si>
    <t>17,319</t>
  </si>
  <si>
    <t>14,001</t>
  </si>
  <si>
    <t>10,789</t>
  </si>
  <si>
    <t>7,165</t>
  </si>
  <si>
    <t>2,524</t>
  </si>
  <si>
    <t>1,007</t>
  </si>
  <si>
    <t>877</t>
  </si>
  <si>
    <t>3,555</t>
  </si>
  <si>
    <t>3,279</t>
  </si>
  <si>
    <t>2,730</t>
  </si>
  <si>
    <t>2,237</t>
  </si>
  <si>
    <t>1,823</t>
  </si>
  <si>
    <t>64.49%</t>
  </si>
  <si>
    <t>62.28%</t>
  </si>
  <si>
    <t>50.50%</t>
  </si>
  <si>
    <t>63.70%</t>
  </si>
  <si>
    <t>63.50%</t>
  </si>
  <si>
    <t>66.50%</t>
  </si>
  <si>
    <t>59.54%</t>
  </si>
  <si>
    <t>53.05%</t>
  </si>
  <si>
    <t>35.09%</t>
  </si>
  <si>
    <t>27.80%</t>
  </si>
  <si>
    <t>16.98%</t>
  </si>
  <si>
    <t>13.08%</t>
  </si>
  <si>
    <t>42.89%</t>
  </si>
  <si>
    <t>42.90%</t>
  </si>
  <si>
    <t>41.80%</t>
  </si>
  <si>
    <t>41.95%</t>
  </si>
  <si>
    <t>39.52%</t>
  </si>
  <si>
    <t>36.44%</t>
  </si>
  <si>
    <t>751</t>
  </si>
  <si>
    <t>669</t>
  </si>
  <si>
    <t>611</t>
  </si>
  <si>
    <t>543</t>
  </si>
  <si>
    <t>478</t>
  </si>
  <si>
    <t>433</t>
  </si>
  <si>
    <t>410</t>
  </si>
  <si>
    <t>387</t>
  </si>
  <si>
    <t>372</t>
  </si>
  <si>
    <t>365</t>
  </si>
  <si>
    <t>384</t>
  </si>
  <si>
    <t>426</t>
  </si>
  <si>
    <t>334</t>
  </si>
  <si>
    <t>309</t>
  </si>
  <si>
    <t>298</t>
  </si>
  <si>
    <t>286</t>
  </si>
  <si>
    <t>281</t>
  </si>
  <si>
    <t>288</t>
  </si>
  <si>
    <t>15.88%</t>
  </si>
  <si>
    <t>15.33%</t>
  </si>
  <si>
    <t>14.31%</t>
  </si>
  <si>
    <t>12.40%</t>
  </si>
  <si>
    <t>13.61%</t>
  </si>
  <si>
    <t>12.16%</t>
  </si>
  <si>
    <t>11.36%</t>
  </si>
  <si>
    <t>7.51%</t>
  </si>
  <si>
    <t>10.36%</t>
  </si>
  <si>
    <t>6.60%</t>
  </si>
  <si>
    <t>6.46%</t>
  </si>
  <si>
    <t>0.88%</t>
  </si>
  <si>
    <t>Prime Day Event</t>
  </si>
  <si>
    <t>180,169</t>
  </si>
  <si>
    <t>167,702</t>
  </si>
  <si>
    <t>155,667</t>
  </si>
  <si>
    <t>187,792</t>
  </si>
  <si>
    <t>158,877</t>
  </si>
  <si>
    <t>147,977</t>
  </si>
  <si>
    <t>143,313</t>
  </si>
  <si>
    <t>169,961</t>
  </si>
  <si>
    <t>143,083</t>
  </si>
  <si>
    <t>134,383</t>
  </si>
  <si>
    <t>127,358</t>
  </si>
  <si>
    <t>149,204</t>
  </si>
  <si>
    <t>127,101</t>
  </si>
  <si>
    <t>121,234</t>
  </si>
  <si>
    <t>116,444</t>
  </si>
  <si>
    <t>137,412</t>
  </si>
  <si>
    <t>110,812</t>
  </si>
  <si>
    <t>113,080</t>
  </si>
  <si>
    <t>108,518</t>
  </si>
  <si>
    <t>125,555</t>
  </si>
  <si>
    <t>13.40%</t>
  </si>
  <si>
    <t>13.33%</t>
  </si>
  <si>
    <t>8.62%</t>
  </si>
  <si>
    <t>10.49%</t>
  </si>
  <si>
    <t>11.04%</t>
  </si>
  <si>
    <t>10.12%</t>
  </si>
  <si>
    <t>12.53%</t>
  </si>
  <si>
    <t>13.91%</t>
  </si>
  <si>
    <t>12.57%</t>
  </si>
  <si>
    <t>10.85%</t>
  </si>
  <si>
    <t>9.37%</t>
  </si>
  <si>
    <t>8.58%</t>
  </si>
  <si>
    <t>14.70%</t>
  </si>
  <si>
    <t>7.21%</t>
  </si>
  <si>
    <t>7.30%</t>
  </si>
  <si>
    <t>9.44%</t>
  </si>
  <si>
    <t>15.25%</t>
  </si>
  <si>
    <t>27.18%</t>
  </si>
  <si>
    <t>43.82%</t>
  </si>
  <si>
    <t>43.60%</t>
  </si>
  <si>
    <t>88,670</t>
  </si>
  <si>
    <t>80,809</t>
  </si>
  <si>
    <t>76,976</t>
  </si>
  <si>
    <t>98,893</t>
  </si>
  <si>
    <t>80,977</t>
  </si>
  <si>
    <t>73,785</t>
  </si>
  <si>
    <t>72,633</t>
  </si>
  <si>
    <t>92,553</t>
  </si>
  <si>
    <t>75,022</t>
  </si>
  <si>
    <t>69,373</t>
  </si>
  <si>
    <t>67,791</t>
  </si>
  <si>
    <t>85,640</t>
  </si>
  <si>
    <t>70,268</t>
  </si>
  <si>
    <t>66,424</t>
  </si>
  <si>
    <t>66,499</t>
  </si>
  <si>
    <t>82,835</t>
  </si>
  <si>
    <t>62,930</t>
  </si>
  <si>
    <t>64,176</t>
  </si>
  <si>
    <t>62,403</t>
  </si>
  <si>
    <t>79,284</t>
  </si>
  <si>
    <t>91,499</t>
  </si>
  <si>
    <t>86,893</t>
  </si>
  <si>
    <t>78,691</t>
  </si>
  <si>
    <t>88,899</t>
  </si>
  <si>
    <t>77,900</t>
  </si>
  <si>
    <t>74,192</t>
  </si>
  <si>
    <t>70,680</t>
  </si>
  <si>
    <t>77,408</t>
  </si>
  <si>
    <t>68,061</t>
  </si>
  <si>
    <t>65,010</t>
  </si>
  <si>
    <t>59,567</t>
  </si>
  <si>
    <t>63,564</t>
  </si>
  <si>
    <t>56,833</t>
  </si>
  <si>
    <t>54,810</t>
  </si>
  <si>
    <t>49,945</t>
  </si>
  <si>
    <t>54,577</t>
  </si>
  <si>
    <t>47,882</t>
  </si>
  <si>
    <t>48,904</t>
  </si>
  <si>
    <t>46,115</t>
  </si>
  <si>
    <t>46,271</t>
  </si>
  <si>
    <t>46,470</t>
  </si>
  <si>
    <t>44,442</t>
  </si>
  <si>
    <t>40,920</t>
  </si>
  <si>
    <t>33,310</t>
  </si>
  <si>
    <t>40,632</t>
  </si>
  <si>
    <t>38,185</t>
  </si>
  <si>
    <t>32,629</t>
  </si>
  <si>
    <t>38,672</t>
  </si>
  <si>
    <t>38,354</t>
  </si>
  <si>
    <t>37,150</t>
  </si>
  <si>
    <t>31,380</t>
  </si>
  <si>
    <t>37,356</t>
  </si>
  <si>
    <t>35,935</t>
  </si>
  <si>
    <t>33,757</t>
  </si>
  <si>
    <t>29,516</t>
  </si>
  <si>
    <t>30,944</t>
  </si>
  <si>
    <t>29,397</t>
  </si>
  <si>
    <t>26,628</t>
  </si>
  <si>
    <t>23,428</t>
  </si>
  <si>
    <t>24,732</t>
  </si>
  <si>
    <t>23,081</t>
  </si>
  <si>
    <t>19,058</t>
  </si>
  <si>
    <t>34,210</t>
  </si>
  <si>
    <t>18,583</t>
  </si>
  <si>
    <t>18,791</t>
  </si>
  <si>
    <t>16,960</t>
  </si>
  <si>
    <t>31,416</t>
  </si>
  <si>
    <t>17,957</t>
  </si>
  <si>
    <t>18,829</t>
  </si>
  <si>
    <t>17,420</t>
  </si>
  <si>
    <t>28,688</t>
  </si>
  <si>
    <t>15,468</t>
  </si>
  <si>
    <t>12,270</t>
  </si>
  <si>
    <t>21,577</t>
  </si>
  <si>
    <t>12,097</t>
  </si>
  <si>
    <t>11,794</t>
  </si>
  <si>
    <t>10,584</t>
  </si>
  <si>
    <t>16,466</t>
  </si>
  <si>
    <t>Other Operating Expenses</t>
  </si>
  <si>
    <t>375</t>
  </si>
  <si>
    <t>199</t>
  </si>
  <si>
    <t>308</t>
  </si>
  <si>
    <t>176</t>
  </si>
  <si>
    <t>97</t>
  </si>
  <si>
    <t>154</t>
  </si>
  <si>
    <t>146</t>
  </si>
  <si>
    <t>223</t>
  </si>
  <si>
    <t>165</t>
  </si>
  <si>
    <t>90</t>
  </si>
  <si>
    <t>59</t>
  </si>
  <si>
    <t>24</t>
  </si>
  <si>
    <t>38</t>
  </si>
  <si>
    <t>-496</t>
  </si>
  <si>
    <t>71,577</t>
  </si>
  <si>
    <t>67,722</t>
  </si>
  <si>
    <t>60,286</t>
  </si>
  <si>
    <t>67,696</t>
  </si>
  <si>
    <t>60,489</t>
  </si>
  <si>
    <t>59,520</t>
  </si>
  <si>
    <t>55,373</t>
  </si>
  <si>
    <t>64,199</t>
  </si>
  <si>
    <t>56,873</t>
  </si>
  <si>
    <t>57,329</t>
  </si>
  <si>
    <t>54,793</t>
  </si>
  <si>
    <t>60,077</t>
  </si>
  <si>
    <t>54,308</t>
  </si>
  <si>
    <t>51,493</t>
  </si>
  <si>
    <t>46,086</t>
  </si>
  <si>
    <t>51,117</t>
  </si>
  <si>
    <t>43,030</t>
  </si>
  <si>
    <t>41,202</t>
  </si>
  <si>
    <t>37,250</t>
  </si>
  <si>
    <t>39,398</t>
  </si>
  <si>
    <t>19,922</t>
  </si>
  <si>
    <t>19,171</t>
  </si>
  <si>
    <t>18,405</t>
  </si>
  <si>
    <t>21,203</t>
  </si>
  <si>
    <t>17,411</t>
  </si>
  <si>
    <t>14,672</t>
  </si>
  <si>
    <t>15,307</t>
  </si>
  <si>
    <t>13,209</t>
  </si>
  <si>
    <t>11,188</t>
  </si>
  <si>
    <t>7,681</t>
  </si>
  <si>
    <t>4,774</t>
  </si>
  <si>
    <t>3,487</t>
  </si>
  <si>
    <t>2,525</t>
  </si>
  <si>
    <t>3,317</t>
  </si>
  <si>
    <t>3,859</t>
  </si>
  <si>
    <t>3,460</t>
  </si>
  <si>
    <t>4,852</t>
  </si>
  <si>
    <t>7,702</t>
  </si>
  <si>
    <t>8,865</t>
  </si>
  <si>
    <t>6,873</t>
  </si>
  <si>
    <t>-538</t>
  </si>
  <si>
    <t>-516</t>
  </si>
  <si>
    <t>-541</t>
  </si>
  <si>
    <t>-570</t>
  </si>
  <si>
    <t>-603</t>
  </si>
  <si>
    <t>-589</t>
  </si>
  <si>
    <t>-644</t>
  </si>
  <si>
    <t>-713</t>
  </si>
  <si>
    <t>-806</t>
  </si>
  <si>
    <t>-840</t>
  </si>
  <si>
    <t>-823</t>
  </si>
  <si>
    <t>-694</t>
  </si>
  <si>
    <t>-617</t>
  </si>
  <si>
    <t>-584</t>
  </si>
  <si>
    <t>-472</t>
  </si>
  <si>
    <t>-482</t>
  </si>
  <si>
    <t>-493</t>
  </si>
  <si>
    <t>-435</t>
  </si>
  <si>
    <t>-399</t>
  </si>
  <si>
    <t>-414</t>
  </si>
  <si>
    <t>1,100</t>
  </si>
  <si>
    <t>1,085</t>
  </si>
  <si>
    <t>1,066</t>
  </si>
  <si>
    <t>1,248</t>
  </si>
  <si>
    <t>1,180</t>
  </si>
  <si>
    <t>993</t>
  </si>
  <si>
    <t>901</t>
  </si>
  <si>
    <t>776</t>
  </si>
  <si>
    <t>661</t>
  </si>
  <si>
    <t>445</t>
  </si>
  <si>
    <t>277</t>
  </si>
  <si>
    <t>159</t>
  </si>
  <si>
    <t>108</t>
  </si>
  <si>
    <t>118</t>
  </si>
  <si>
    <t>106</t>
  </si>
  <si>
    <t>105</t>
  </si>
  <si>
    <t>Earnings From Equity Investments</t>
  </si>
  <si>
    <t>-15</t>
  </si>
  <si>
    <t>1</t>
  </si>
  <si>
    <t>-85</t>
  </si>
  <si>
    <t>-12</t>
  </si>
  <si>
    <t>12</t>
  </si>
  <si>
    <t>22</t>
  </si>
  <si>
    <t>70</t>
  </si>
  <si>
    <t>-2</t>
  </si>
  <si>
    <t>-213</t>
  </si>
  <si>
    <t>17</t>
  </si>
  <si>
    <t>-74</t>
  </si>
  <si>
    <t>80</t>
  </si>
  <si>
    <t>-94</t>
  </si>
  <si>
    <t>-134</t>
  </si>
  <si>
    <t>-103</t>
  </si>
  <si>
    <t>-117</t>
  </si>
  <si>
    <t>-27</t>
  </si>
  <si>
    <t>-107</t>
  </si>
  <si>
    <t>110</t>
  </si>
  <si>
    <t>-31</t>
  </si>
  <si>
    <t>-33</t>
  </si>
  <si>
    <t>-111</t>
  </si>
  <si>
    <t>-54</t>
  </si>
  <si>
    <t>-247</t>
  </si>
  <si>
    <t>-44</t>
  </si>
  <si>
    <t>-48</t>
  </si>
  <si>
    <t>-37</t>
  </si>
  <si>
    <t>-108</t>
  </si>
  <si>
    <t>-448</t>
  </si>
  <si>
    <t>-40</t>
  </si>
  <si>
    <t>-35</t>
  </si>
  <si>
    <t>-32</t>
  </si>
  <si>
    <t>-30</t>
  </si>
  <si>
    <t>20,403</t>
  </si>
  <si>
    <t>19,793</t>
  </si>
  <si>
    <t>18,896</t>
  </si>
  <si>
    <t>21,537</t>
  </si>
  <si>
    <t>18,069</t>
  </si>
  <si>
    <t>15,078</t>
  </si>
  <si>
    <t>15,250</t>
  </si>
  <si>
    <t>13,433</t>
  </si>
  <si>
    <t>11,012</t>
  </si>
  <si>
    <t>7,465</t>
  </si>
  <si>
    <t>4,525</t>
  </si>
  <si>
    <t>2,669</t>
  </si>
  <si>
    <t>2,061</t>
  </si>
  <si>
    <t>2,723</t>
  </si>
  <si>
    <t>3,474</t>
  </si>
  <si>
    <t>3,035</t>
  </si>
  <si>
    <t>4,335</t>
  </si>
  <si>
    <t>7,519</t>
  </si>
  <si>
    <t>8,559</t>
  </si>
  <si>
    <t>6,683</t>
  </si>
  <si>
    <t>10,194</t>
  </si>
  <si>
    <t>1,049</t>
  </si>
  <si>
    <t>2,784</t>
  </si>
  <si>
    <t>792</t>
  </si>
  <si>
    <t>-2,352</t>
  </si>
  <si>
    <t>253</t>
  </si>
  <si>
    <t>1,173</t>
  </si>
  <si>
    <t>89</t>
  </si>
  <si>
    <t>-2,868</t>
  </si>
  <si>
    <t>880</t>
  </si>
  <si>
    <t>-5,388</t>
  </si>
  <si>
    <t>-8,550</t>
  </si>
  <si>
    <t>11,900</t>
  </si>
  <si>
    <t>1,127</t>
  </si>
  <si>
    <t>1,704</t>
  </si>
  <si>
    <t>Asset Writedown</t>
  </si>
  <si>
    <t>-750</t>
  </si>
  <si>
    <t>-190</t>
  </si>
  <si>
    <t>-2,500</t>
  </si>
  <si>
    <t>28,097</t>
  </si>
  <si>
    <t>20,842</t>
  </si>
  <si>
    <t>21,680</t>
  </si>
  <si>
    <t>22,329</t>
  </si>
  <si>
    <t>18,034</t>
  </si>
  <si>
    <t>15,252</t>
  </si>
  <si>
    <t>13,686</t>
  </si>
  <si>
    <t>12,185</t>
  </si>
  <si>
    <t>7,554</t>
  </si>
  <si>
    <t>4,120</t>
  </si>
  <si>
    <t>-949</t>
  </si>
  <si>
    <t>2,941</t>
  </si>
  <si>
    <t>-2,665</t>
  </si>
  <si>
    <t>-5,266</t>
  </si>
  <si>
    <t>14,935</t>
  </si>
  <si>
    <t>4,311</t>
  </si>
  <si>
    <t>8,646</t>
  </si>
  <si>
    <t>10,263</t>
  </si>
  <si>
    <t>7,787</t>
  </si>
  <si>
    <t>2,678</t>
  </si>
  <si>
    <t>4,553</t>
  </si>
  <si>
    <t>2,325</t>
  </si>
  <si>
    <t>2,706</t>
  </si>
  <si>
    <t>1,767</t>
  </si>
  <si>
    <t>2,467</t>
  </si>
  <si>
    <t>3,062</t>
  </si>
  <si>
    <t>2,306</t>
  </si>
  <si>
    <t>804</t>
  </si>
  <si>
    <t>948</t>
  </si>
  <si>
    <t>-1,227</t>
  </si>
  <si>
    <t>-637</t>
  </si>
  <si>
    <t>-1,422</t>
  </si>
  <si>
    <t>612</t>
  </si>
  <si>
    <t>1,155</t>
  </si>
  <si>
    <t>868</t>
  </si>
  <si>
    <t>2,156</t>
  </si>
  <si>
    <t>565</t>
  </si>
  <si>
    <t>21,187</t>
  </si>
  <si>
    <t>18,164</t>
  </si>
  <si>
    <t>17,127</t>
  </si>
  <si>
    <t>20,004</t>
  </si>
  <si>
    <t>15,328</t>
  </si>
  <si>
    <t>13,485</t>
  </si>
  <si>
    <t>10,431</t>
  </si>
  <si>
    <t>10,624</t>
  </si>
  <si>
    <t>9,879</t>
  </si>
  <si>
    <t>6,750</t>
  </si>
  <si>
    <t>3,172</t>
  </si>
  <si>
    <t>2,872</t>
  </si>
  <si>
    <t>-2,028</t>
  </si>
  <si>
    <t>-3,844</t>
  </si>
  <si>
    <t>14,323</t>
  </si>
  <si>
    <t>7,778</t>
  </si>
  <si>
    <t>8,107</t>
  </si>
  <si>
    <t>7,222</t>
  </si>
  <si>
    <t>38.22%</t>
  </si>
  <si>
    <t>34.70%</t>
  </si>
  <si>
    <t>64.19%</t>
  </si>
  <si>
    <t>88.29%</t>
  </si>
  <si>
    <t>55.16%</t>
  </si>
  <si>
    <t>99.78%</t>
  </si>
  <si>
    <t>228.85%</t>
  </si>
  <si>
    <t>3721.58%</t>
  </si>
  <si>
    <t>243.98%</t>
  </si>
  <si>
    <t>-98.06%</t>
  </si>
  <si>
    <t>-9.00%</t>
  </si>
  <si>
    <t>98.32%</t>
  </si>
  <si>
    <t>-50.15%</t>
  </si>
  <si>
    <t>48.35%</t>
  </si>
  <si>
    <t>219.80%</t>
  </si>
  <si>
    <t>120.99%</t>
  </si>
  <si>
    <t>10,674</t>
  </si>
  <si>
    <t>10,637</t>
  </si>
  <si>
    <t>10,603</t>
  </si>
  <si>
    <t>10,552</t>
  </si>
  <si>
    <t>10,501</t>
  </si>
  <si>
    <t>10,447</t>
  </si>
  <si>
    <t>10,393</t>
  </si>
  <si>
    <t>10,356</t>
  </si>
  <si>
    <t>10,322</t>
  </si>
  <si>
    <t>10,285</t>
  </si>
  <si>
    <t>10,250</t>
  </si>
  <si>
    <t>10,220</t>
  </si>
  <si>
    <t>10,191</t>
  </si>
  <si>
    <t>10,175</t>
  </si>
  <si>
    <t>10,171</t>
  </si>
  <si>
    <t>10,160</t>
  </si>
  <si>
    <t>10,132</t>
  </si>
  <si>
    <t>10,103</t>
  </si>
  <si>
    <t>10,080</t>
  </si>
  <si>
    <t>10,040</t>
  </si>
  <si>
    <t>10,845</t>
  </si>
  <si>
    <t>10,793</t>
  </si>
  <si>
    <t>10,771</t>
  </si>
  <si>
    <t>10,735</t>
  </si>
  <si>
    <t>10,708</t>
  </si>
  <si>
    <t>10,670</t>
  </si>
  <si>
    <t>10,610</t>
  </si>
  <si>
    <t>10,558</t>
  </si>
  <si>
    <t>10,449</t>
  </si>
  <si>
    <t>10,347</t>
  </si>
  <si>
    <t>10,308</t>
  </si>
  <si>
    <t>10,331</t>
  </si>
  <si>
    <t>10,320</t>
  </si>
  <si>
    <t>10,309</t>
  </si>
  <si>
    <t>10,286</t>
  </si>
  <si>
    <t>10,260</t>
  </si>
  <si>
    <t>1.03%</t>
  </si>
  <si>
    <t>1.15%</t>
  </si>
  <si>
    <t>1.52%</t>
  </si>
  <si>
    <t>1.68%</t>
  </si>
  <si>
    <t>2.48%</t>
  </si>
  <si>
    <t>3.12%</t>
  </si>
  <si>
    <t>2.20%</t>
  </si>
  <si>
    <t>2.69%</t>
  </si>
  <si>
    <t>1.73%</t>
  </si>
  <si>
    <t>-0.12%</t>
  </si>
  <si>
    <t>0.21%</t>
  </si>
  <si>
    <t>-1.08%</t>
  </si>
  <si>
    <t>-0.87%</t>
  </si>
  <si>
    <t>0.58%</t>
  </si>
  <si>
    <t>0.67%</t>
  </si>
  <si>
    <t>1.04%</t>
  </si>
  <si>
    <t>1.58%</t>
  </si>
  <si>
    <t>1.98</t>
  </si>
  <si>
    <t>1.71</t>
  </si>
  <si>
    <t>1.62</t>
  </si>
  <si>
    <t>1.90</t>
  </si>
  <si>
    <t>1.29</t>
  </si>
  <si>
    <t>1.00</t>
  </si>
  <si>
    <t>0.96</t>
  </si>
  <si>
    <t>0.66</t>
  </si>
  <si>
    <t>0.31</t>
  </si>
  <si>
    <t>1.41</t>
  </si>
  <si>
    <t>0.72</t>
  </si>
  <si>
    <t>1.95</t>
  </si>
  <si>
    <t>1.68</t>
  </si>
  <si>
    <t>1.59</t>
  </si>
  <si>
    <t>1.86</t>
  </si>
  <si>
    <t>1.43</t>
  </si>
  <si>
    <t>1.26</t>
  </si>
  <si>
    <t>0.98</t>
  </si>
  <si>
    <t>0.65</t>
  </si>
  <si>
    <t>0.02</t>
  </si>
  <si>
    <t>1.39</t>
  </si>
  <si>
    <t>36.36%</t>
  </si>
  <si>
    <t>33.33%</t>
  </si>
  <si>
    <t>62.24%</t>
  </si>
  <si>
    <t>84.59%</t>
  </si>
  <si>
    <t>52.13%</t>
  </si>
  <si>
    <t>93.85%</t>
  </si>
  <si>
    <t>216.68%</t>
  </si>
  <si>
    <t>5069.29%</t>
  </si>
  <si>
    <t>235.71%</t>
  </si>
  <si>
    <t>-98.60%</t>
  </si>
  <si>
    <t>-9.68%</t>
  </si>
  <si>
    <t>97.19%</t>
  </si>
  <si>
    <t>-49.88%</t>
  </si>
  <si>
    <t>47.57%</t>
  </si>
  <si>
    <t>215.17%</t>
  </si>
  <si>
    <t>116.64%</t>
  </si>
  <si>
    <t>430</t>
  </si>
  <si>
    <t>332</t>
  </si>
  <si>
    <t>-8,004</t>
  </si>
  <si>
    <t>17,802</t>
  </si>
  <si>
    <t>3,351</t>
  </si>
  <si>
    <t>7,661</t>
  </si>
  <si>
    <t>4,064</t>
  </si>
  <si>
    <t>27,877</t>
  </si>
  <si>
    <t>8,738</t>
  </si>
  <si>
    <t>5,021</t>
  </si>
  <si>
    <t>-9,419</t>
  </si>
  <si>
    <t>12,581</t>
  </si>
  <si>
    <t>-4,974</t>
  </si>
  <si>
    <t>-6,759</t>
  </si>
  <si>
    <t>-17,741</t>
  </si>
  <si>
    <t>3,151</t>
  </si>
  <si>
    <t>-8,435</t>
  </si>
  <si>
    <t>-1,573</t>
  </si>
  <si>
    <t>-7,869</t>
  </si>
  <si>
    <t>15,608</t>
  </si>
  <si>
    <t>-0.74</t>
  </si>
  <si>
    <t>1.65</t>
  </si>
  <si>
    <t>0.71</t>
  </si>
  <si>
    <t>0.38</t>
  </si>
  <si>
    <t>0.48</t>
  </si>
  <si>
    <t>1.22</t>
  </si>
  <si>
    <t>-0.48</t>
  </si>
  <si>
    <t>-0.66</t>
  </si>
  <si>
    <t>-1.74</t>
  </si>
  <si>
    <t>0.30</t>
  </si>
  <si>
    <t>-0.82</t>
  </si>
  <si>
    <t>-0.15</t>
  </si>
  <si>
    <t>-0.77</t>
  </si>
  <si>
    <t>1.52</t>
  </si>
  <si>
    <t>50.79%</t>
  </si>
  <si>
    <t>51.81%</t>
  </si>
  <si>
    <t>50.55%</t>
  </si>
  <si>
    <t>47.34%</t>
  </si>
  <si>
    <t>49.03%</t>
  </si>
  <si>
    <t>50.14%</t>
  </si>
  <si>
    <t>49.32%</t>
  </si>
  <si>
    <t>45.55%</t>
  </si>
  <si>
    <t>48.38%</t>
  </si>
  <si>
    <t>46.77%</t>
  </si>
  <si>
    <t>42.60%</t>
  </si>
  <si>
    <t>44.71%</t>
  </si>
  <si>
    <t>45.21%</t>
  </si>
  <si>
    <t>39.72%</t>
  </si>
  <si>
    <t>43.21%</t>
  </si>
  <si>
    <t>43.25%</t>
  </si>
  <si>
    <t>42.49%</t>
  </si>
  <si>
    <t>36.85%</t>
  </si>
  <si>
    <t>11.06%</t>
  </si>
  <si>
    <t>11.43%</t>
  </si>
  <si>
    <t>11.82%</t>
  </si>
  <si>
    <t>10.96%</t>
  </si>
  <si>
    <t>9.92%</t>
  </si>
  <si>
    <t>10.68%</t>
  </si>
  <si>
    <t>7.77%</t>
  </si>
  <si>
    <t>7.82%</t>
  </si>
  <si>
    <t>5.72%</t>
  </si>
  <si>
    <t>3.75%</t>
  </si>
  <si>
    <t>1.99%</t>
  </si>
  <si>
    <t>2.74%</t>
  </si>
  <si>
    <t>3.31%</t>
  </si>
  <si>
    <t>2.52%</t>
  </si>
  <si>
    <t>4.38%</t>
  </si>
  <si>
    <t>11.76%</t>
  </si>
  <si>
    <t>10.83%</t>
  </si>
  <si>
    <t>11.00%</t>
  </si>
  <si>
    <t>10.65%</t>
  </si>
  <si>
    <t>9.11%</t>
  </si>
  <si>
    <t>7.28%</t>
  </si>
  <si>
    <t>6.25%</t>
  </si>
  <si>
    <t>6.90%</t>
  </si>
  <si>
    <t>5.02%</t>
  </si>
  <si>
    <t>2.49%</t>
  </si>
  <si>
    <t>0.19%</t>
  </si>
  <si>
    <t>2.26%</t>
  </si>
  <si>
    <t>-3.30%</t>
  </si>
  <si>
    <t>10.42%</t>
  </si>
  <si>
    <t>2.85%</t>
  </si>
  <si>
    <t>7.47%</t>
  </si>
  <si>
    <t>5.75%</t>
  </si>
  <si>
    <t>0.24%</t>
  </si>
  <si>
    <t>0.20%</t>
  </si>
  <si>
    <t>-5.14%</t>
  </si>
  <si>
    <t>9.48%</t>
  </si>
  <si>
    <t>2.11%</t>
  </si>
  <si>
    <t>5.18%</t>
  </si>
  <si>
    <t>2.84%</t>
  </si>
  <si>
    <t>16.40%</t>
  </si>
  <si>
    <t>6.11%</t>
  </si>
  <si>
    <t>3.74%</t>
  </si>
  <si>
    <t>-7.40%</t>
  </si>
  <si>
    <t>8.43%</t>
  </si>
  <si>
    <t>-5.58%</t>
  </si>
  <si>
    <t>-15.24%</t>
  </si>
  <si>
    <t>2.29%</t>
  </si>
  <si>
    <t>-7.61%</t>
  </si>
  <si>
    <t>-1.39%</t>
  </si>
  <si>
    <t>-7.25%</t>
  </si>
  <si>
    <t>12.43%</t>
  </si>
  <si>
    <t>36,718</t>
  </si>
  <si>
    <t>34,398</t>
  </si>
  <si>
    <t>32,667</t>
  </si>
  <si>
    <t>35,914</t>
  </si>
  <si>
    <t>30,853</t>
  </si>
  <si>
    <t>26,710</t>
  </si>
  <si>
    <t>26,991</t>
  </si>
  <si>
    <t>27,029</t>
  </si>
  <si>
    <t>23,319</t>
  </si>
  <si>
    <t>19,270</t>
  </si>
  <si>
    <t>15,897</t>
  </si>
  <si>
    <t>16,172</t>
  </si>
  <si>
    <t>13,033</t>
  </si>
  <si>
    <t>13,052</t>
  </si>
  <si>
    <t>13,399</t>
  </si>
  <si>
    <t>13,800</t>
  </si>
  <si>
    <t>15,740</t>
  </si>
  <si>
    <t>16,373</t>
  </si>
  <si>
    <t>14,491</t>
  </si>
  <si>
    <t>20.38%</t>
  </si>
  <si>
    <t>20.51%</t>
  </si>
  <si>
    <t>20.98%</t>
  </si>
  <si>
    <t>19.12%</t>
  </si>
  <si>
    <t>19.42%</t>
  </si>
  <si>
    <t>18.05%</t>
  </si>
  <si>
    <t>18.83%</t>
  </si>
  <si>
    <t>15.90%</t>
  </si>
  <si>
    <t>16.30%</t>
  </si>
  <si>
    <t>14.34%</t>
  </si>
  <si>
    <t>10.84%</t>
  </si>
  <si>
    <t>10.75%</t>
  </si>
  <si>
    <t>11.21%</t>
  </si>
  <si>
    <t>9.75%</t>
  </si>
  <si>
    <t>12.45%</t>
  </si>
  <si>
    <t>13.92%</t>
  </si>
  <si>
    <t>15.09%</t>
  </si>
  <si>
    <t>11.54%</t>
  </si>
  <si>
    <t>16,796</t>
  </si>
  <si>
    <t>15,227</t>
  </si>
  <si>
    <t>14,262</t>
  </si>
  <si>
    <t>14,711</t>
  </si>
  <si>
    <t>13,442</t>
  </si>
  <si>
    <t>12,038</t>
  </si>
  <si>
    <t>11,684</t>
  </si>
  <si>
    <t>13,820</t>
  </si>
  <si>
    <t>12,131</t>
  </si>
  <si>
    <t>11,589</t>
  </si>
  <si>
    <t>11,123</t>
  </si>
  <si>
    <t>10,327</t>
  </si>
  <si>
    <t>9,716</t>
  </si>
  <si>
    <t>9,193</t>
  </si>
  <si>
    <t>9,939</t>
  </si>
  <si>
    <t>8,948</t>
  </si>
  <si>
    <t>8,038</t>
  </si>
  <si>
    <t>7,508</t>
  </si>
  <si>
    <t>7,618</t>
  </si>
  <si>
    <t>24.59%</t>
  </si>
  <si>
    <t>12.85%</t>
  </si>
  <si>
    <t>21.00%</t>
  </si>
  <si>
    <t>10.41%</t>
  </si>
  <si>
    <t>11.58%</t>
  </si>
  <si>
    <t>19.13%</t>
  </si>
  <si>
    <t>22.37%</t>
  </si>
  <si>
    <t>18.93%</t>
  </si>
  <si>
    <t>10.64%</t>
  </si>
  <si>
    <t>23.01%</t>
  </si>
  <si>
    <t>2.35%</t>
  </si>
  <si>
    <t>4.10%</t>
  </si>
  <si>
    <t>26.79%</t>
  </si>
  <si>
    <t>10.04%</t>
  </si>
  <si>
    <t>21.01%</t>
  </si>
  <si>
    <t>7.26%</t>
  </si>
  <si>
    <t>EST</t>
  </si>
  <si>
    <t>FACT</t>
  </si>
  <si>
    <t>Q4 '25</t>
  </si>
  <si>
    <t>Q3 '25</t>
  </si>
  <si>
    <t>Q2 '25</t>
  </si>
  <si>
    <t>Q1 '25</t>
  </si>
  <si>
    <t>Q4 '24</t>
  </si>
  <si>
    <t>Q3 '24</t>
  </si>
  <si>
    <t>Q2 '24</t>
  </si>
  <si>
    <t>Q1 '24</t>
  </si>
  <si>
    <t>Q4 '23</t>
  </si>
  <si>
    <t>8-11 July 2025</t>
  </si>
  <si>
    <t>16-17 July 2025</t>
  </si>
  <si>
    <t>11-12 July 2025</t>
  </si>
  <si>
    <t>Company Update (แทน Investor Day)</t>
  </si>
  <si>
    <t>Investor Day</t>
  </si>
  <si>
    <t>EST or FACT</t>
  </si>
  <si>
    <t>ผู้บริหารเปิดเผยแผน AI ในธุรกิจแบงก์</t>
  </si>
  <si>
    <t>ราคาหุ้นตอบรับแผน Net Interest Income</t>
  </si>
  <si>
    <t>แถลงความสำเร็จหลังซื้อ First Republic Bank</t>
  </si>
  <si>
    <t>Q1 '23</t>
  </si>
  <si>
    <t>Q2 '23</t>
  </si>
  <si>
    <t>Q3 '23</t>
  </si>
  <si>
    <t>https://www.jpmorganchase.com/ir</t>
  </si>
  <si>
    <t>Remark 2</t>
  </si>
  <si>
    <t>ตกเบา แต่วันถัดๆไปตกเรื่อยๆ</t>
  </si>
  <si>
    <t>ไม่เปลี่ยนแปลงมาก แต่วันถัดๆไปค่อยๆขึ้น</t>
  </si>
  <si>
    <t>ไม่เปลี่ยนแปลงมาก แต่วันถัดๆไปค่อยๆลง</t>
  </si>
  <si>
    <t>ไม่เปลี่ยนแปลงมาก</t>
  </si>
  <si>
    <t>ตกแรงมาก จากราคาเปิด</t>
  </si>
  <si>
    <t>ขึ้นแรง จากราคาเปิด</t>
  </si>
  <si>
    <t>ตกแรง จากราคาเปิด</t>
  </si>
  <si>
    <t>ขึ้นแรง วันถัดๆไปค่อยๆขึ้น</t>
  </si>
  <si>
    <t>https://www.jpmorganchase.com/ir/events</t>
  </si>
  <si>
    <t>Link to Event official</t>
  </si>
  <si>
    <t>Social information</t>
  </si>
  <si>
    <t>https://x.com/jpmorgan</t>
  </si>
  <si>
    <t>https://x.com/Chase</t>
  </si>
  <si>
    <t>ตกแรงมาก ช่วงก่อนเปิดตลาด</t>
  </si>
  <si>
    <t>การเทขายที่คุณเห็นเมื่อวานนี้ (จันทร์ที่ 12 ม.ค.) ตอน 04:00 น. (UTC-5 หรือ 16:00 น. เวลาไทย) เกิดจาก **ข่าวใหญ่ที่ประกาศในช่วงสุดสัปดาห์** ครับ
สาเหตุหลักที่ทำให้หุ้นกลุ่มธนาคาร (รวมถึง JPM) ร่วงลงทันทีที่ตลาด Pre-market เปิด คือ:
1. **นโยบาย "คุมดอกเบี้ยบัตรเครดิต" ของทรัมป์:**
* ในช่วงสุดสัปดาห์ ประธานาธิบดีโดนัลด์ ทรัมป์ ได้โพสต์ข้อความเสนอให้มีการ **"จำกัดดอกเบี้ยบัตรเครดิตไว้ที่ 10% เป็นเวลา 1 ปี"** (จากปกติที่อยู่ราว 20-30%) โดยระบุว่าจะให้มีผลตั้งแต่วันที่ 20 มกราคม 2026 เป็นต้นไป
* ข่าวนี้นักลงทุนมองว่าเป็นผลเสียอย่างหนักต่อรายได้ของธนาคารและบริษัทบัตรเครดิต ทำให้เกิดความกังวลและเทขายหุ้นกลุ่มการเงินทั้งหมด (เช่น JPM, Visa, Mastercard, Capital One) ทันทีที่ระบบเริ่มจับคู่ซื้อขายตอนตี 4 ของนิวยอร์กครับ
2. **ความกังวลเรื่องความอิสระของ Fed:**
* มีรายงานข่าวในช่วงเวลาใกล้เคียงกันว่า กระทรวงยุติธรรมสหรัฐฯ (DOJ) ได้เริ่มการสอบสวนประธาน Fed (Jerome Powell) ซึ่งสร้างความกังวลให้นักลงทุนเรื่องการแทรกแซงการทำงานของธนาคารกลาง ทำให้ตลาดมีความผันผวนเพิ่มขึ้นครับ
**สรุปสั้นๆ:** กราฟที่คุณเห็น Gap Down ลงมาตอนตี 4 คือปฏิกิริยาแรก (Panic Sell) ของนักลงทุนที่มีต่อข่าว **"การคุมเพดานดอกเบี้ยบัตรเครดิต"** ที่ประกาศออกมาในวันหยุดครับ ซึ่งเกิดขึ้นก่อนที่ JPM จะประกาศงบในวันนี้ (13 ม.ค.)</t>
  </si>
  <si>
    <t>Priority</t>
  </si>
  <si>
    <t>must increase (yellow) and must reduce (red)</t>
  </si>
  <si>
    <t>flash news</t>
  </si>
  <si>
    <t>ดีลระหว่าง Apple และ JPMorgan Chase (JPM) ได้ถูกประกาศอย่างเป็นทางการ
จากเอกสารและข้อมูลที่ปรากฏ ดีลนี้เป็นการลงทุนระยะยาว (Long-term Play) โดย JPM จะยังไม่ได้รับผลตอบแทนที่เป็น "กำไรเนื้อๆ" ในทันทีครับ
นี่คือไทม์ไลน์ที่คุณคาดหวังได้:
1. **ระยะสั้น (2025 - 2027): ช่วง "ควักเนื้อลงทุน"**
* ช่วงนี้จะเป็นช่วงของการเตรียมการและทยอยโอนย้ายพอร์ตลูกค้าจากเจ้าเดิม (Goldman Sachs) มาที่ JPM
* JPM จะมีค่าใช้จ่ายในการวางระบบและการตั้งสำรองหนี้ (เหมือนที่เห็นใน Q4 2025 ที่กำไรหายไปบางส่วน)
* *สรุป:* ช่วงนี้เน้นจ่ายออก ยังไม่เน้นรับเข้า
2. **จุดเปลี่ยนสำคัญ (ประมาณปี 2028): เริ่ม "เก็บเกี่ยว"**
* ตามแผนที่ระบุไว้ การโอนย้ายพอร์ตบัตรเครดิต Apple Card ทั้งหมดมาอยู่ภายใต้ JPM คาดว่าจะเสร็จสมบูรณ์ประมาณช่วง **ปี 2028**
* เมื่อถึงตอนนั้น JPM จะเริ่มรับรู้รายได้อย่างเต็มเม็ดเต็มหน่วยจาก:
* **ดอกเบี้ย:** จากยอดค้างชำระของลูกค้าบัตร Apple Card (ซึ่งมีมูลค่ามหาศาล)
* **ฐานลูกค้าใหม่:** โอกาสในการขายผลิตภัณฑ์อื่น (เช่น เงินฝาก, กองทุน, สินเชื่อบ้าน) ให้กับสาวก Apple ที่มีกำลังซื้อสูง
* **การเติบโต:** การขยายฐานผู้ใช้ใหม่ๆ ร่วมกับ Apple
**สรุป:** ผู้บริหารมองเกมยาวครับ ผลตอบแทนที่เป็นตัวเงินจริงๆ จะเริ่มไหลเข้ามาอย่างชัดเจนในช่วง **ปี 2028 เป็นต้นไป** ครับ (ระหว่างนี้ถือเป็นช่วงอดทนรอกินผลไม้ใหญ่ในอนาคต)</t>
  </si>
  <si>
    <t>BUY</t>
  </si>
  <si>
    <t>SLV</t>
  </si>
  <si>
    <t>SELL</t>
  </si>
  <si>
    <t>Dec '25 Dec 31, 2025</t>
  </si>
  <si>
    <t>48,808</t>
  </si>
  <si>
    <t>23,813</t>
  </si>
  <si>
    <t>24,995</t>
  </si>
  <si>
    <t>7.04%</t>
  </si>
  <si>
    <t>5,701</t>
  </si>
  <si>
    <t>5,340</t>
  </si>
  <si>
    <t>-71</t>
  </si>
  <si>
    <t>9,476</t>
  </si>
  <si>
    <t>20,803</t>
  </si>
  <si>
    <t>7.13%</t>
  </si>
  <si>
    <t>45,798</t>
  </si>
  <si>
    <t>4,655</t>
  </si>
  <si>
    <t>41,143</t>
  </si>
  <si>
    <t>2.51%</t>
  </si>
  <si>
    <t>13,118</t>
  </si>
  <si>
    <t>9,189</t>
  </si>
  <si>
    <t>1,290</t>
  </si>
  <si>
    <t>23,597</t>
  </si>
  <si>
    <t>17,546</t>
  </si>
  <si>
    <t>-326</t>
  </si>
  <si>
    <t>17,160</t>
  </si>
  <si>
    <t>4,135</t>
  </si>
  <si>
    <t>13,025</t>
  </si>
  <si>
    <t>12,689</t>
  </si>
  <si>
    <t>-7.00%</t>
  </si>
  <si>
    <t>2,735</t>
  </si>
  <si>
    <t>2,741</t>
  </si>
  <si>
    <t>-3.58%</t>
  </si>
  <si>
    <t>4.64</t>
  </si>
  <si>
    <t>4.63</t>
  </si>
  <si>
    <t>-3.70%</t>
  </si>
  <si>
    <t>24.10%</t>
  </si>
  <si>
    <t>34,261</t>
  </si>
  <si>
    <t>18,511</t>
  </si>
  <si>
    <t>15,750</t>
  </si>
  <si>
    <t>12,617</t>
  </si>
  <si>
    <t>14.82%</t>
  </si>
  <si>
    <t>28,367</t>
  </si>
  <si>
    <t>1,308</t>
  </si>
  <si>
    <t>27,059</t>
  </si>
  <si>
    <t>13.24%</t>
  </si>
  <si>
    <t>10,602</t>
  </si>
  <si>
    <t>3,158</t>
  </si>
  <si>
    <t>1,793</t>
  </si>
  <si>
    <t>17,437</t>
  </si>
  <si>
    <t>9,622</t>
  </si>
  <si>
    <t>1,975</t>
  </si>
  <si>
    <t>7,647</t>
  </si>
  <si>
    <t>328</t>
  </si>
  <si>
    <t>7,319</t>
  </si>
  <si>
    <t>14.73%</t>
  </si>
  <si>
    <t>7,365</t>
  </si>
  <si>
    <t>7,547</t>
  </si>
  <si>
    <t>-3.78%</t>
  </si>
  <si>
    <t>20.90%</t>
  </si>
  <si>
    <t>20.53%</t>
  </si>
  <si>
    <t>SPCX</t>
  </si>
  <si>
    <t>IPO</t>
  </si>
  <si>
    <t>https://www.tradingview.com/chart/?symbol=JPM</t>
  </si>
  <si>
    <t>V</t>
  </si>
  <si>
    <t>https://investor.visa.com/</t>
  </si>
  <si>
    <t>https://investor.visa.com/events-calendar/</t>
  </si>
  <si>
    <t>https://x.com/Visa</t>
  </si>
  <si>
    <t>https://x.com/VisaNews</t>
  </si>
  <si>
    <t>https://www.tradingview.com/chart/?symbol=V</t>
  </si>
  <si>
    <t>BA</t>
  </si>
  <si>
    <t>https://investors.boeing.com/</t>
  </si>
  <si>
    <t>https://investors.boeing.com/investors/events-and-presentations/</t>
  </si>
  <si>
    <t>https://x.com/Boeing</t>
  </si>
  <si>
    <t>https://x.com/BoeingAirplanes</t>
  </si>
  <si>
    <t>https://www.tradingview.com/chart/?symbol=BA</t>
  </si>
  <si>
    <t>LMT</t>
  </si>
  <si>
    <t>https://investors.lockheedmartin.com/</t>
  </si>
  <si>
    <t>https://investors.lockheedmartin.com/events-and-presentations</t>
  </si>
  <si>
    <t>https://x.com/LockheedMartin</t>
  </si>
  <si>
    <t>https://x.com/LMNews</t>
  </si>
  <si>
    <t>https://www.tradingview.com/chart/?symbol=LMT</t>
  </si>
  <si>
    <t>RTX</t>
  </si>
  <si>
    <t>https://investors.rtx.com/</t>
  </si>
  <si>
    <t>https://investors.rtx.com/events-and-presentations</t>
  </si>
  <si>
    <t>https://x.com/RTX_Corp</t>
  </si>
  <si>
    <t>https://x.com/Raytheon</t>
  </si>
  <si>
    <t>https://www.tradingview.com/chart/?symbol=RTX</t>
  </si>
  <si>
    <t>WDC (SNDK)</t>
  </si>
  <si>
    <t>https://investor.wdc.com/</t>
  </si>
  <si>
    <t>https://investor.wdc.com/events-and-presentations</t>
  </si>
  <si>
    <t>https://x.com/westerndigital</t>
  </si>
  <si>
    <t>https://x.com/SanDisk</t>
  </si>
  <si>
    <t>https://www.tradingview.com/chart/?symbol=WDC</t>
  </si>
  <si>
    <t>STX</t>
  </si>
  <si>
    <t>https://investors.seagate.com/</t>
  </si>
  <si>
    <t>https://investors.seagate.com/events-and-presentations/</t>
  </si>
  <si>
    <t>https://x.com/Seagate</t>
  </si>
  <si>
    <t>https://x.com/SeagateGaming</t>
  </si>
  <si>
    <t>https://www.tradingview.com/chart/?symbol=STX</t>
  </si>
  <si>
    <t>TSLA</t>
  </si>
  <si>
    <t>https://ir.tesla.com/</t>
  </si>
  <si>
    <t>https://ir.tesla.com/#quarterly-disclosure</t>
  </si>
  <si>
    <t>https://x.com/Tesla</t>
  </si>
  <si>
    <t>https://x.com/elonmusk</t>
  </si>
  <si>
    <t>https://www.tradingview.com/chart/?symbol=TSLA</t>
  </si>
  <si>
    <t>QQQM</t>
  </si>
  <si>
    <t>https://www.invesco.com/qqq-etf/en/qqqm.html</t>
  </si>
  <si>
    <t>https://www.invesco.com/us/en/insights.html</t>
  </si>
  <si>
    <t>https://x.com/InvescoUS</t>
  </si>
  <si>
    <t>https://x.com/QQQ</t>
  </si>
  <si>
    <t>https://www.tradingview.com/chart/?symbol=QQQM</t>
  </si>
  <si>
    <t>NEM</t>
  </si>
  <si>
    <t>https://ir.newmont.com/</t>
  </si>
  <si>
    <t>https://ir.newmont.com/events-and-presentations/</t>
  </si>
  <si>
    <t>https://x.com/NewmontCorp</t>
  </si>
  <si>
    <t>https://x.com/Newmont</t>
  </si>
  <si>
    <t>https://www.tradingview.com/chart/?symbol=NEM</t>
  </si>
  <si>
    <t>https://www.ishares.com/us/products/239855/ishares-silver-trust-fund</t>
  </si>
  <si>
    <t>https://www.ishares.com/us/insights</t>
  </si>
  <si>
    <t>https://x.com/iShares</t>
  </si>
  <si>
    <t>https://x.com/BlackRock</t>
  </si>
  <si>
    <t>https://www.tradingview.com/chart/?symbol=SLV</t>
  </si>
  <si>
    <t>WDC</t>
  </si>
  <si>
    <t>https://www.nasdaq.com/market-activity/stocks/jpm/dividend-history</t>
  </si>
  <si>
    <t>https://www.nasdaq.com/market-activity/stocks/v/dividend-history</t>
  </si>
  <si>
    <t>https://www.nasdaq.com/market-activity/stocks/ba/dividend-history</t>
  </si>
  <si>
    <t>https://www.nasdaq.com/market-activity/stocks/lmt/dividend-history</t>
  </si>
  <si>
    <t>https://www.nasdaq.com/market-activity/stocks/rtx/dividend-history</t>
  </si>
  <si>
    <t>https://www.nasdaq.com/market-activity/stocks/wdc/dividend-history</t>
  </si>
  <si>
    <t>https://www.nasdaq.com/market-activity/stocks/stx/dividend-history</t>
  </si>
  <si>
    <t>https://www.nasdaq.com/market-activity/stocks/tsla/dividend-history</t>
  </si>
  <si>
    <t>https://www.nasdaq.com/market-activity/funds-and-etfs/qqqm/dividend-history</t>
  </si>
  <si>
    <t>https://www.nasdaq.com/market-activity/stocks/nem/dividend-history</t>
  </si>
  <si>
    <t>https://www.google.com/search?q=https://www.nasdaq.com/market-activity/funds-and-etfs/slv/dividend-history</t>
  </si>
  <si>
    <t>Purpose / VI Relevance</t>
  </si>
  <si>
    <t>Amazon Investor Relations</t>
  </si>
  <si>
    <t>Amazon Corporate News</t>
  </si>
  <si>
    <t>Tracks major capital expenditures, logistics infrastructure, and AI/robotics developments</t>
  </si>
  <si>
    <t>Amazon News (X/Twitter)</t>
  </si>
  <si>
    <t>Official corporate press releases and real-time business updates</t>
  </si>
  <si>
    <t>Amazon Web Services (X/Twitter)</t>
  </si>
  <si>
    <t>Tracks AWS cloud partnerships, enterprise contracts, and AI infrastructure updates</t>
  </si>
  <si>
    <t>Main Amazon Account (X/Twitter)</t>
  </si>
  <si>
    <t>Useful for monitoring customer sentiment, consumer promotions, and major retail events like Prime Day</t>
  </si>
  <si>
    <t>Ground zero for 10-K/10-Q filings, earnings releases, and CEO shareholder letters (referenced in Picture1.jpg)</t>
  </si>
  <si>
    <t>https://ir.aboutamazon.com/overview/default.aspx</t>
  </si>
  <si>
    <t>https://www.aboutamazon.com/</t>
  </si>
  <si>
    <t>https://x.com/amazonnews</t>
  </si>
  <si>
    <t>https://x.com/awscloud</t>
  </si>
  <si>
    <t>https://x.com/amazon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</si>
</sst>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d\-mmm\-yyyy;@"/>
    <numFmt numFmtId="165" formatCode="B1d\-mmm\-yy"/>
    <numFmt numFmtId="166" formatCode="yyyy\-mm\-dd;@"/>
    <numFmt numFmtId="167" formatCode="_([$$-409]* #,##0.00_);_([$$-409]* \(#,##0.00\);_([$$-409]* &quot;-&quot;??_);_(@_)"/>
  </numFmts>
  <fonts count="10" x14ac:knownFonts="1">
    <font>
      <sz val="11"/>
      <color theme="1"/>
      <name val="Calibri"/>
      <family val="2"/>
      <scheme val="minor"/>
    </font>
    <font>
      <sz val="8"/>
      <name val="Calibri"/>
      <family val="2"/>
      <scheme val="minor"/>
    </font>
    <font>
      <b/>
      <sz val="11"/>
      <color theme="1"/>
      <name val="Calibri"/>
      <family val="2"/>
      <scheme val="minor"/>
    </font>
    <font>
      <b/>
      <sz val="7"/>
      <color rgb="FF232A31"/>
      <name val="Arial"/>
      <family val="2"/>
    </font>
    <font>
      <u/>
      <sz val="11"/>
      <color theme="10"/>
      <name val="Calibri"/>
      <family val="2"/>
      <scheme val="minor"/>
    </font>
    <font>
      <sz val="9"/>
      <color indexed="81"/>
      <name val="Tahoma"/>
      <family val="2"/>
    </font>
    <font>
      <b/>
      <sz val="9"/>
      <color indexed="81"/>
      <name val="Tahoma"/>
      <family val="2"/>
    </font>
    <font>
      <sz val="11"/>
      <color theme="0"/>
      <name val="Calibri"/>
      <family val="2"/>
      <scheme val="minor"/>
    </font>
    <font>
      <sz val="11"/>
      <color rgb="FF1F1F1F"/>
      <name val="Arial"/>
      <family val="2"/>
    </font>
    <font>
      <b/>
      <sz val="11"/>
      <color rgb="FF1F1F1F"/>
      <name val="Arial"/>
      <family val="2"/>
    </font>
  </fonts>
  <fills count="7">
    <fill>
      <patternFill patternType="none"/>
    </fill>
    <fill>
      <patternFill patternType="gray125"/>
    </fill>
    <fill>
      <patternFill patternType="solid">
        <fgColor rgb="FF00B050"/>
        <bgColor indexed="64"/>
      </patternFill>
    </fill>
    <fill>
      <patternFill patternType="solid">
        <fgColor rgb="FFFF0000"/>
        <bgColor indexed="64"/>
      </patternFill>
    </fill>
    <fill>
      <patternFill patternType="solid">
        <fgColor rgb="FFFFFF00"/>
        <bgColor indexed="64"/>
      </patternFill>
    </fill>
    <fill>
      <patternFill patternType="solid">
        <fgColor rgb="FF92D050"/>
        <bgColor indexed="64"/>
      </patternFill>
    </fill>
    <fill>
      <patternFill patternType="solid">
        <fgColor theme="9" tint="0.79998168889431442"/>
        <bgColor theme="9" tint="0.79998168889431442"/>
      </patternFill>
    </fill>
  </fills>
  <borders count="4">
    <border>
      <left/>
      <right/>
      <top/>
      <bottom/>
      <diagonal/>
    </border>
    <border>
      <left style="thin">
        <color theme="9" tint="0.39997558519241921"/>
      </left>
      <right/>
      <top style="thin">
        <color theme="9" tint="0.39997558519241921"/>
      </top>
      <bottom style="thin">
        <color theme="9" tint="0.39997558519241921"/>
      </bottom>
      <diagonal/>
    </border>
    <border>
      <left style="medium">
        <color rgb="FFC4C7C5"/>
      </left>
      <right style="medium">
        <color rgb="FFC4C7C5"/>
      </right>
      <top style="medium">
        <color rgb="FFC4C7C5"/>
      </top>
      <bottom style="medium">
        <color rgb="FFC4C7C5"/>
      </bottom>
      <diagonal/>
    </border>
    <border>
      <left style="medium">
        <color rgb="FFC4C7C5"/>
      </left>
      <right style="medium">
        <color rgb="FFC4C7C5"/>
      </right>
      <top/>
      <bottom/>
      <diagonal/>
    </border>
  </borders>
  <cellStyleXfs count="2">
    <xf numFmtId="0" fontId="0" fillId="0" borderId="0"/>
    <xf numFmtId="0" fontId="4" fillId="0" borderId="0" applyNumberFormat="0" applyFill="0" applyBorder="0" applyAlignment="0" applyProtection="0"/>
  </cellStyleXfs>
  <cellXfs count="35">
    <xf numFmtId="0" fontId="0" fillId="0" borderId="0" xfId="0"/>
    <xf numFmtId="14" fontId="0" fillId="0" borderId="0" xfId="0" applyNumberFormat="1"/>
    <xf numFmtId="164" fontId="0" fillId="0" borderId="0" xfId="0" applyNumberFormat="1"/>
    <xf numFmtId="2" fontId="0" fillId="0" borderId="0" xfId="0" applyNumberFormat="1"/>
    <xf numFmtId="0" fontId="0" fillId="0" borderId="0" xfId="0" applyAlignment="1">
      <alignment wrapText="1"/>
    </xf>
    <xf numFmtId="0" fontId="2" fillId="0" borderId="0" xfId="0" applyFont="1" applyAlignment="1">
      <alignment wrapText="1" readingOrder="1"/>
    </xf>
    <xf numFmtId="166" fontId="0" fillId="0" borderId="0" xfId="0" applyNumberFormat="1"/>
    <xf numFmtId="165" fontId="0" fillId="0" borderId="0" xfId="0" applyNumberFormat="1"/>
    <xf numFmtId="3" fontId="0" fillId="0" borderId="0" xfId="0" applyNumberFormat="1"/>
    <xf numFmtId="4" fontId="0" fillId="0" borderId="0" xfId="0" applyNumberFormat="1"/>
    <xf numFmtId="167" fontId="0" fillId="0" borderId="0" xfId="0" applyNumberFormat="1"/>
    <xf numFmtId="14" fontId="3" fillId="0" borderId="0" xfId="0" applyNumberFormat="1" applyFont="1"/>
    <xf numFmtId="0" fontId="0" fillId="2" borderId="0" xfId="0" applyFill="1"/>
    <xf numFmtId="0" fontId="0" fillId="3" borderId="0" xfId="0" applyFill="1"/>
    <xf numFmtId="0" fontId="0" fillId="4" borderId="0" xfId="0" applyFill="1"/>
    <xf numFmtId="0" fontId="0" fillId="5" borderId="0" xfId="0" applyFill="1"/>
    <xf numFmtId="0" fontId="0" fillId="6" borderId="1" xfId="0" applyFill="1" applyBorder="1"/>
    <xf numFmtId="0" fontId="0" fillId="0" borderId="1" xfId="0" applyBorder="1"/>
    <xf numFmtId="0" fontId="7" fillId="3" borderId="0" xfId="0" applyFont="1" applyFill="1" applyAlignment="1">
      <alignment wrapText="1"/>
    </xf>
    <xf numFmtId="0" fontId="0" fillId="4" borderId="1" xfId="0" applyFill="1" applyBorder="1"/>
    <xf numFmtId="0" fontId="0" fillId="3" borderId="1" xfId="0" applyFill="1" applyBorder="1"/>
    <xf numFmtId="10" fontId="0" fillId="0" borderId="0" xfId="0" applyNumberFormat="1"/>
    <xf numFmtId="0" fontId="9" fillId="0" borderId="2" xfId="0" applyFont="1" applyBorder="1" applyAlignment="1">
      <alignment horizontal="right" vertical="center" wrapText="1" indent="1" readingOrder="1"/>
    </xf>
    <xf numFmtId="0" fontId="8" fillId="0" borderId="2" xfId="0" applyFont="1" applyBorder="1" applyAlignment="1">
      <alignment horizontal="right" vertical="center" wrapText="1" indent="1" readingOrder="1"/>
    </xf>
    <xf numFmtId="0" fontId="9" fillId="0" borderId="0" xfId="0" applyFont="1" applyAlignment="1">
      <alignment horizontal="right" vertical="center" wrapText="1" indent="1" readingOrder="1"/>
    </xf>
    <xf numFmtId="0" fontId="0" fillId="0" borderId="2" xfId="0" applyBorder="1"/>
    <xf numFmtId="0" fontId="8" fillId="0" borderId="0" xfId="0" applyFont="1" applyAlignment="1">
      <alignment horizontal="right" vertical="center" wrapText="1" indent="1" readingOrder="1"/>
    </xf>
    <xf numFmtId="0" fontId="0" fillId="0" borderId="2" xfId="0" applyBorder="1" applyAlignment="1">
      <alignment wrapText="1"/>
    </xf>
    <xf numFmtId="0" fontId="0" fillId="0" borderId="0" xfId="0" applyAlignment="1">
      <alignment horizontal="left" vertical="center"/>
    </xf>
    <xf numFmtId="0" fontId="4" fillId="0" borderId="0" xfId="1" applyAlignment="1">
      <alignment horizontal="left" vertical="center"/>
    </xf>
    <xf numFmtId="0" fontId="4" fillId="0" borderId="0" xfId="1" applyBorder="1" applyAlignment="1">
      <alignment horizontal="left" vertical="center" wrapText="1" readingOrder="1"/>
    </xf>
    <xf numFmtId="0" fontId="0" fillId="0" borderId="2" xfId="0" applyBorder="1" applyAlignment="1">
      <alignment horizontal="left" vertical="center"/>
    </xf>
    <xf numFmtId="0" fontId="4" fillId="0" borderId="2" xfId="1" applyBorder="1" applyAlignment="1">
      <alignment horizontal="left" vertical="center"/>
    </xf>
    <xf numFmtId="0" fontId="4" fillId="0" borderId="2" xfId="1" applyBorder="1" applyAlignment="1">
      <alignment horizontal="left" vertical="center" wrapText="1" readingOrder="1"/>
    </xf>
    <xf numFmtId="0" fontId="9" fillId="0" borderId="3" xfId="0" applyFont="1" applyBorder="1" applyAlignment="1">
      <alignment horizontal="right" vertical="center" wrapText="1" indent="1" readingOrder="1"/>
    </xf>
  </cellXfs>
  <cellStyles count="2">
    <cellStyle name="Hyperlink" xfId="1" builtinId="8"/>
    <cellStyle name="Normal" xfId="0" builtinId="0"/>
  </cellStyles>
  <dxfs count="11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fill>
        <patternFill patternType="solid">
          <fgColor indexed="64"/>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onnections" Target="connections.xml"/><Relationship Id="rId26" Type="http://schemas.microsoft.com/office/2017/06/relationships/rdSupportingPropertyBagStructure" Target="richData/rdsupportingpropertybagstructure.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5" Type="http://schemas.microsoft.com/office/2017/06/relationships/richStyles" Target="richData/rich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Array" Target="richData/rdarray.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Structure" Target="richData/rdrichvaluestructure.xml"/><Relationship Id="rId28" Type="http://schemas.microsoft.com/office/2017/06/relationships/rdRichValueTypes" Target="richData/rdRichValueTypes.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 Target="richData/rdrichvalue.xml"/><Relationship Id="rId27" Type="http://schemas.microsoft.com/office/2017/06/relationships/rdSupportingPropertyBag" Target="richData/rdsupportingpropertybag.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'JPM hist. focus 2'!$B$1</c:f>
              <c:strCache>
                <c:ptCount val="1"/>
                <c:pt idx="0">
                  <c:v>Volume</c:v>
                </c:pt>
              </c:strCache>
            </c:strRef>
          </c:tx>
          <c:spPr>
            <a:solidFill>
              <a:schemeClr val="accent1"/>
            </a:solidFill>
            <a:ln w="19050">
              <a:noFill/>
            </a:ln>
            <a:effectLst/>
          </c:spPr>
          <c:invertIfNegative val="0"/>
          <c:cat>
            <c:numRef>
              <c:f>'JPM hist. focus 2'!$A$2:$A$16</c:f>
              <c:numCache>
                <c:formatCode>m/d/yyyy</c:formatCode>
                <c:ptCount val="15"/>
                <c:pt idx="0">
                  <c:v>45936</c:v>
                </c:pt>
                <c:pt idx="1">
                  <c:v>45937</c:v>
                </c:pt>
                <c:pt idx="2">
                  <c:v>45938</c:v>
                </c:pt>
                <c:pt idx="3">
                  <c:v>45939</c:v>
                </c:pt>
                <c:pt idx="4">
                  <c:v>45940</c:v>
                </c:pt>
                <c:pt idx="5">
                  <c:v>45943</c:v>
                </c:pt>
                <c:pt idx="6">
                  <c:v>45944</c:v>
                </c:pt>
                <c:pt idx="7">
                  <c:v>45945</c:v>
                </c:pt>
                <c:pt idx="8">
                  <c:v>45946</c:v>
                </c:pt>
                <c:pt idx="9">
                  <c:v>45947</c:v>
                </c:pt>
                <c:pt idx="10">
                  <c:v>45950</c:v>
                </c:pt>
                <c:pt idx="11">
                  <c:v>45951</c:v>
                </c:pt>
                <c:pt idx="12">
                  <c:v>45952</c:v>
                </c:pt>
                <c:pt idx="13">
                  <c:v>45953</c:v>
                </c:pt>
                <c:pt idx="14">
                  <c:v>45954</c:v>
                </c:pt>
              </c:numCache>
            </c:numRef>
          </c:cat>
          <c:val>
            <c:numRef>
              <c:f>'JPM hist. focus 2'!$B$2:$B$16</c:f>
              <c:numCache>
                <c:formatCode>#,##0</c:formatCode>
                <c:ptCount val="15"/>
                <c:pt idx="0">
                  <c:v>7214502</c:v>
                </c:pt>
                <c:pt idx="1">
                  <c:v>8454217</c:v>
                </c:pt>
                <c:pt idx="2">
                  <c:v>6489883</c:v>
                </c:pt>
                <c:pt idx="3">
                  <c:v>7060332</c:v>
                </c:pt>
                <c:pt idx="4">
                  <c:v>8597384</c:v>
                </c:pt>
                <c:pt idx="5">
                  <c:v>10788680</c:v>
                </c:pt>
                <c:pt idx="6">
                  <c:v>16178755</c:v>
                </c:pt>
                <c:pt idx="7">
                  <c:v>11354778</c:v>
                </c:pt>
                <c:pt idx="8">
                  <c:v>10549447</c:v>
                </c:pt>
                <c:pt idx="9">
                  <c:v>10153454</c:v>
                </c:pt>
                <c:pt idx="10">
                  <c:v>6894943</c:v>
                </c:pt>
                <c:pt idx="11">
                  <c:v>7372671</c:v>
                </c:pt>
                <c:pt idx="12">
                  <c:v>8054115</c:v>
                </c:pt>
                <c:pt idx="13">
                  <c:v>5438810</c:v>
                </c:pt>
                <c:pt idx="14">
                  <c:v>7228330</c:v>
                </c:pt>
              </c:numCache>
            </c:numRef>
          </c:val>
          <c:extLst>
            <c:ext xmlns:c16="http://schemas.microsoft.com/office/drawing/2014/chart" uri="{C3380CC4-5D6E-409C-BE32-E72D297353CC}">
              <c16:uniqueId val="{00000000-5323-4905-97B8-152933A639F2}"/>
            </c:ext>
          </c:extLst>
        </c:ser>
        <c:dLbls>
          <c:showLegendKey val="0"/>
          <c:showVal val="0"/>
          <c:showCatName val="0"/>
          <c:showSerName val="0"/>
          <c:showPercent val="0"/>
          <c:showBubbleSize val="0"/>
        </c:dLbls>
        <c:gapWidth val="150"/>
        <c:axId val="505281215"/>
        <c:axId val="505283615"/>
      </c:barChart>
      <c:stockChart>
        <c:ser>
          <c:idx val="1"/>
          <c:order val="1"/>
          <c:tx>
            <c:strRef>
              <c:f>'JPM hist. focus 2'!$C$1</c:f>
              <c:strCache>
                <c:ptCount val="1"/>
                <c:pt idx="0">
                  <c:v>Open</c:v>
                </c:pt>
              </c:strCache>
            </c:strRef>
          </c:tx>
          <c:spPr>
            <a:ln w="19050" cap="rnd">
              <a:noFill/>
              <a:round/>
            </a:ln>
            <a:effectLst/>
          </c:spPr>
          <c:marker>
            <c:symbol val="none"/>
          </c:marker>
          <c:cat>
            <c:numRef>
              <c:f>'JPM hist. focus 2'!$A$2:$A$16</c:f>
              <c:numCache>
                <c:formatCode>m/d/yyyy</c:formatCode>
                <c:ptCount val="15"/>
                <c:pt idx="0">
                  <c:v>45936</c:v>
                </c:pt>
                <c:pt idx="1">
                  <c:v>45937</c:v>
                </c:pt>
                <c:pt idx="2">
                  <c:v>45938</c:v>
                </c:pt>
                <c:pt idx="3">
                  <c:v>45939</c:v>
                </c:pt>
                <c:pt idx="4">
                  <c:v>45940</c:v>
                </c:pt>
                <c:pt idx="5">
                  <c:v>45943</c:v>
                </c:pt>
                <c:pt idx="6">
                  <c:v>45944</c:v>
                </c:pt>
                <c:pt idx="7">
                  <c:v>45945</c:v>
                </c:pt>
                <c:pt idx="8">
                  <c:v>45946</c:v>
                </c:pt>
                <c:pt idx="9">
                  <c:v>45947</c:v>
                </c:pt>
                <c:pt idx="10">
                  <c:v>45950</c:v>
                </c:pt>
                <c:pt idx="11">
                  <c:v>45951</c:v>
                </c:pt>
                <c:pt idx="12">
                  <c:v>45952</c:v>
                </c:pt>
                <c:pt idx="13">
                  <c:v>45953</c:v>
                </c:pt>
                <c:pt idx="14">
                  <c:v>45954</c:v>
                </c:pt>
              </c:numCache>
            </c:numRef>
          </c:cat>
          <c:val>
            <c:numRef>
              <c:f>'JPM hist. focus 2'!$C$2:$C$16</c:f>
              <c:numCache>
                <c:formatCode>_([$$-409]* #,##0.00_);_([$$-409]* \(#,##0.00\);_([$$-409]* "-"??_);_(@_)</c:formatCode>
                <c:ptCount val="15"/>
                <c:pt idx="0">
                  <c:v>310.18</c:v>
                </c:pt>
                <c:pt idx="1">
                  <c:v>309.35000000000002</c:v>
                </c:pt>
                <c:pt idx="2">
                  <c:v>308.20999999999998</c:v>
                </c:pt>
                <c:pt idx="3">
                  <c:v>305.05</c:v>
                </c:pt>
                <c:pt idx="4">
                  <c:v>305.66000000000003</c:v>
                </c:pt>
                <c:pt idx="5">
                  <c:v>305.60000000000002</c:v>
                </c:pt>
                <c:pt idx="6">
                  <c:v>305.83999999999997</c:v>
                </c:pt>
                <c:pt idx="7">
                  <c:v>306.39</c:v>
                </c:pt>
                <c:pt idx="8">
                  <c:v>305.35000000000002</c:v>
                </c:pt>
                <c:pt idx="9">
                  <c:v>299.16000000000003</c:v>
                </c:pt>
                <c:pt idx="10">
                  <c:v>298.5</c:v>
                </c:pt>
                <c:pt idx="11">
                  <c:v>301.66000000000003</c:v>
                </c:pt>
                <c:pt idx="12">
                  <c:v>297.77</c:v>
                </c:pt>
                <c:pt idx="13">
                  <c:v>294.38</c:v>
                </c:pt>
                <c:pt idx="14">
                  <c:v>296.08</c:v>
                </c:pt>
              </c:numCache>
            </c:numRef>
          </c:val>
          <c:smooth val="0"/>
          <c:extLst>
            <c:ext xmlns:c16="http://schemas.microsoft.com/office/drawing/2014/chart" uri="{C3380CC4-5D6E-409C-BE32-E72D297353CC}">
              <c16:uniqueId val="{00000001-5323-4905-97B8-152933A639F2}"/>
            </c:ext>
          </c:extLst>
        </c:ser>
        <c:ser>
          <c:idx val="2"/>
          <c:order val="2"/>
          <c:tx>
            <c:strRef>
              <c:f>'JPM hist. focus 2'!$D$1</c:f>
              <c:strCache>
                <c:ptCount val="1"/>
                <c:pt idx="0">
                  <c:v>High</c:v>
                </c:pt>
              </c:strCache>
            </c:strRef>
          </c:tx>
          <c:spPr>
            <a:ln w="19050" cap="rnd">
              <a:noFill/>
              <a:round/>
            </a:ln>
            <a:effectLst/>
          </c:spPr>
          <c:marker>
            <c:symbol val="none"/>
          </c:marker>
          <c:cat>
            <c:numRef>
              <c:f>'JPM hist. focus 2'!$A$2:$A$16</c:f>
              <c:numCache>
                <c:formatCode>m/d/yyyy</c:formatCode>
                <c:ptCount val="15"/>
                <c:pt idx="0">
                  <c:v>45936</c:v>
                </c:pt>
                <c:pt idx="1">
                  <c:v>45937</c:v>
                </c:pt>
                <c:pt idx="2">
                  <c:v>45938</c:v>
                </c:pt>
                <c:pt idx="3">
                  <c:v>45939</c:v>
                </c:pt>
                <c:pt idx="4">
                  <c:v>45940</c:v>
                </c:pt>
                <c:pt idx="5">
                  <c:v>45943</c:v>
                </c:pt>
                <c:pt idx="6">
                  <c:v>45944</c:v>
                </c:pt>
                <c:pt idx="7">
                  <c:v>45945</c:v>
                </c:pt>
                <c:pt idx="8">
                  <c:v>45946</c:v>
                </c:pt>
                <c:pt idx="9">
                  <c:v>45947</c:v>
                </c:pt>
                <c:pt idx="10">
                  <c:v>45950</c:v>
                </c:pt>
                <c:pt idx="11">
                  <c:v>45951</c:v>
                </c:pt>
                <c:pt idx="12">
                  <c:v>45952</c:v>
                </c:pt>
                <c:pt idx="13">
                  <c:v>45953</c:v>
                </c:pt>
                <c:pt idx="14">
                  <c:v>45954</c:v>
                </c:pt>
              </c:numCache>
            </c:numRef>
          </c:cat>
          <c:val>
            <c:numRef>
              <c:f>'JPM hist. focus 2'!$D$2:$D$16</c:f>
              <c:numCache>
                <c:formatCode>_([$$-409]* #,##0.00_);_([$$-409]* \(#,##0.00\);_([$$-409]* "-"??_);_(@_)</c:formatCode>
                <c:ptCount val="15"/>
                <c:pt idx="0">
                  <c:v>311.74740000000003</c:v>
                </c:pt>
                <c:pt idx="1">
                  <c:v>310.01</c:v>
                </c:pt>
                <c:pt idx="2">
                  <c:v>308.78320000000002</c:v>
                </c:pt>
                <c:pt idx="3">
                  <c:v>308.03500000000003</c:v>
                </c:pt>
                <c:pt idx="4">
                  <c:v>310.47000000000003</c:v>
                </c:pt>
                <c:pt idx="5">
                  <c:v>309.45999999999998</c:v>
                </c:pt>
                <c:pt idx="6">
                  <c:v>307</c:v>
                </c:pt>
                <c:pt idx="7">
                  <c:v>312.11989999999997</c:v>
                </c:pt>
                <c:pt idx="8">
                  <c:v>308.67989999999998</c:v>
                </c:pt>
                <c:pt idx="9">
                  <c:v>299.55</c:v>
                </c:pt>
                <c:pt idx="10">
                  <c:v>303.69</c:v>
                </c:pt>
                <c:pt idx="11">
                  <c:v>304.05</c:v>
                </c:pt>
                <c:pt idx="12">
                  <c:v>298.05990000000003</c:v>
                </c:pt>
                <c:pt idx="13">
                  <c:v>296.36989999999997</c:v>
                </c:pt>
                <c:pt idx="14">
                  <c:v>302.60000000000002</c:v>
                </c:pt>
              </c:numCache>
            </c:numRef>
          </c:val>
          <c:smooth val="0"/>
          <c:extLst>
            <c:ext xmlns:c16="http://schemas.microsoft.com/office/drawing/2014/chart" uri="{C3380CC4-5D6E-409C-BE32-E72D297353CC}">
              <c16:uniqueId val="{00000002-5323-4905-97B8-152933A639F2}"/>
            </c:ext>
          </c:extLst>
        </c:ser>
        <c:ser>
          <c:idx val="3"/>
          <c:order val="3"/>
          <c:tx>
            <c:strRef>
              <c:f>'JPM hist. focus 2'!$E$1</c:f>
              <c:strCache>
                <c:ptCount val="1"/>
                <c:pt idx="0">
                  <c:v>Low</c:v>
                </c:pt>
              </c:strCache>
            </c:strRef>
          </c:tx>
          <c:spPr>
            <a:ln w="19050" cap="rnd">
              <a:noFill/>
              <a:round/>
            </a:ln>
            <a:effectLst/>
          </c:spPr>
          <c:marker>
            <c:symbol val="none"/>
          </c:marker>
          <c:cat>
            <c:numRef>
              <c:f>'JPM hist. focus 2'!$A$2:$A$16</c:f>
              <c:numCache>
                <c:formatCode>m/d/yyyy</c:formatCode>
                <c:ptCount val="15"/>
                <c:pt idx="0">
                  <c:v>45936</c:v>
                </c:pt>
                <c:pt idx="1">
                  <c:v>45937</c:v>
                </c:pt>
                <c:pt idx="2">
                  <c:v>45938</c:v>
                </c:pt>
                <c:pt idx="3">
                  <c:v>45939</c:v>
                </c:pt>
                <c:pt idx="4">
                  <c:v>45940</c:v>
                </c:pt>
                <c:pt idx="5">
                  <c:v>45943</c:v>
                </c:pt>
                <c:pt idx="6">
                  <c:v>45944</c:v>
                </c:pt>
                <c:pt idx="7">
                  <c:v>45945</c:v>
                </c:pt>
                <c:pt idx="8">
                  <c:v>45946</c:v>
                </c:pt>
                <c:pt idx="9">
                  <c:v>45947</c:v>
                </c:pt>
                <c:pt idx="10">
                  <c:v>45950</c:v>
                </c:pt>
                <c:pt idx="11">
                  <c:v>45951</c:v>
                </c:pt>
                <c:pt idx="12">
                  <c:v>45952</c:v>
                </c:pt>
                <c:pt idx="13">
                  <c:v>45953</c:v>
                </c:pt>
                <c:pt idx="14">
                  <c:v>45954</c:v>
                </c:pt>
              </c:numCache>
            </c:numRef>
          </c:cat>
          <c:val>
            <c:numRef>
              <c:f>'JPM hist. focus 2'!$E$2:$E$16</c:f>
              <c:numCache>
                <c:formatCode>_([$$-409]* #,##0.00_);_([$$-409]* \(#,##0.00\);_([$$-409]* "-"??_);_(@_)</c:formatCode>
                <c:ptCount val="15"/>
                <c:pt idx="0">
                  <c:v>305.13010000000003</c:v>
                </c:pt>
                <c:pt idx="1">
                  <c:v>304.7</c:v>
                </c:pt>
                <c:pt idx="2">
                  <c:v>303.55</c:v>
                </c:pt>
                <c:pt idx="3">
                  <c:v>303.3947</c:v>
                </c:pt>
                <c:pt idx="4">
                  <c:v>300.81</c:v>
                </c:pt>
                <c:pt idx="5">
                  <c:v>305.45</c:v>
                </c:pt>
                <c:pt idx="6">
                  <c:v>294.20999999999998</c:v>
                </c:pt>
                <c:pt idx="7">
                  <c:v>305.44</c:v>
                </c:pt>
                <c:pt idx="8">
                  <c:v>297.07</c:v>
                </c:pt>
                <c:pt idx="9">
                  <c:v>294.2</c:v>
                </c:pt>
                <c:pt idx="10">
                  <c:v>298.1601</c:v>
                </c:pt>
                <c:pt idx="11">
                  <c:v>297</c:v>
                </c:pt>
                <c:pt idx="12">
                  <c:v>290.54480000000001</c:v>
                </c:pt>
                <c:pt idx="13">
                  <c:v>292.51</c:v>
                </c:pt>
                <c:pt idx="14">
                  <c:v>295.45</c:v>
                </c:pt>
              </c:numCache>
            </c:numRef>
          </c:val>
          <c:smooth val="0"/>
          <c:extLst>
            <c:ext xmlns:c16="http://schemas.microsoft.com/office/drawing/2014/chart" uri="{C3380CC4-5D6E-409C-BE32-E72D297353CC}">
              <c16:uniqueId val="{00000003-5323-4905-97B8-152933A639F2}"/>
            </c:ext>
          </c:extLst>
        </c:ser>
        <c:ser>
          <c:idx val="4"/>
          <c:order val="4"/>
          <c:tx>
            <c:strRef>
              <c:f>'JPM hist. focus 2'!$F$1</c:f>
              <c:strCache>
                <c:ptCount val="1"/>
                <c:pt idx="0">
                  <c:v>Close</c:v>
                </c:pt>
              </c:strCache>
            </c:strRef>
          </c:tx>
          <c:spPr>
            <a:ln w="19050" cap="rnd">
              <a:noFill/>
              <a:round/>
            </a:ln>
            <a:effectLst/>
          </c:spPr>
          <c:marker>
            <c:symbol val="none"/>
          </c:marker>
          <c:cat>
            <c:numRef>
              <c:f>'JPM hist. focus 2'!$A$2:$A$16</c:f>
              <c:numCache>
                <c:formatCode>m/d/yyyy</c:formatCode>
                <c:ptCount val="15"/>
                <c:pt idx="0">
                  <c:v>45936</c:v>
                </c:pt>
                <c:pt idx="1">
                  <c:v>45937</c:v>
                </c:pt>
                <c:pt idx="2">
                  <c:v>45938</c:v>
                </c:pt>
                <c:pt idx="3">
                  <c:v>45939</c:v>
                </c:pt>
                <c:pt idx="4">
                  <c:v>45940</c:v>
                </c:pt>
                <c:pt idx="5">
                  <c:v>45943</c:v>
                </c:pt>
                <c:pt idx="6">
                  <c:v>45944</c:v>
                </c:pt>
                <c:pt idx="7">
                  <c:v>45945</c:v>
                </c:pt>
                <c:pt idx="8">
                  <c:v>45946</c:v>
                </c:pt>
                <c:pt idx="9">
                  <c:v>45947</c:v>
                </c:pt>
                <c:pt idx="10">
                  <c:v>45950</c:v>
                </c:pt>
                <c:pt idx="11">
                  <c:v>45951</c:v>
                </c:pt>
                <c:pt idx="12">
                  <c:v>45952</c:v>
                </c:pt>
                <c:pt idx="13">
                  <c:v>45953</c:v>
                </c:pt>
                <c:pt idx="14">
                  <c:v>45954</c:v>
                </c:pt>
              </c:numCache>
            </c:numRef>
          </c:cat>
          <c:val>
            <c:numRef>
              <c:f>'JPM hist. focus 2'!$F$2:$F$16</c:f>
              <c:numCache>
                <c:formatCode>_([$$-409]* #,##0.00_);_([$$-409]* \(#,##0.00\);_([$$-409]* "-"??_);_(@_)</c:formatCode>
                <c:ptCount val="15"/>
                <c:pt idx="0">
                  <c:v>309.18</c:v>
                </c:pt>
                <c:pt idx="1">
                  <c:v>307.69</c:v>
                </c:pt>
                <c:pt idx="2">
                  <c:v>304.02999999999997</c:v>
                </c:pt>
                <c:pt idx="3">
                  <c:v>305.52999999999997</c:v>
                </c:pt>
                <c:pt idx="4">
                  <c:v>300.89</c:v>
                </c:pt>
                <c:pt idx="5">
                  <c:v>307.97000000000003</c:v>
                </c:pt>
                <c:pt idx="6">
                  <c:v>302.08</c:v>
                </c:pt>
                <c:pt idx="7">
                  <c:v>305.69</c:v>
                </c:pt>
                <c:pt idx="8">
                  <c:v>298.54000000000002</c:v>
                </c:pt>
                <c:pt idx="9">
                  <c:v>297.56</c:v>
                </c:pt>
                <c:pt idx="10">
                  <c:v>302.36</c:v>
                </c:pt>
                <c:pt idx="11">
                  <c:v>297.08999999999997</c:v>
                </c:pt>
                <c:pt idx="12">
                  <c:v>294.11</c:v>
                </c:pt>
                <c:pt idx="13">
                  <c:v>294.54000000000002</c:v>
                </c:pt>
                <c:pt idx="14">
                  <c:v>300.44</c:v>
                </c:pt>
              </c:numCache>
            </c:numRef>
          </c:val>
          <c:smooth val="0"/>
          <c:extLst>
            <c:ext xmlns:c16="http://schemas.microsoft.com/office/drawing/2014/chart" uri="{C3380CC4-5D6E-409C-BE32-E72D297353CC}">
              <c16:uniqueId val="{00000004-5323-4905-97B8-152933A639F2}"/>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chemeClr val="lt1"/>
              </a:solidFill>
              <a:ln w="9525" cap="flat" cmpd="sng" algn="ctr">
                <a:solidFill>
                  <a:schemeClr val="tx1">
                    <a:lumMod val="65000"/>
                    <a:lumOff val="35000"/>
                  </a:schemeClr>
                </a:solidFill>
                <a:round/>
              </a:ln>
              <a:effectLst/>
            </c:spPr>
          </c:upBars>
          <c:downBars>
            <c:spPr>
              <a:solidFill>
                <a:schemeClr val="dk1">
                  <a:lumMod val="75000"/>
                  <a:lumOff val="25000"/>
                </a:schemeClr>
              </a:solidFill>
              <a:ln w="9525" cap="flat" cmpd="sng" algn="ctr">
                <a:solidFill>
                  <a:schemeClr val="tx1">
                    <a:lumMod val="65000"/>
                    <a:lumOff val="35000"/>
                  </a:schemeClr>
                </a:solidFill>
                <a:round/>
              </a:ln>
              <a:effectLst/>
            </c:spPr>
          </c:downBars>
        </c:upDownBars>
        <c:axId val="696790191"/>
        <c:axId val="1207034799"/>
      </c:stockChart>
      <c:dateAx>
        <c:axId val="505281215"/>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283615"/>
        <c:crosses val="autoZero"/>
        <c:auto val="1"/>
        <c:lblOffset val="100"/>
        <c:baseTimeUnit val="days"/>
      </c:dateAx>
      <c:valAx>
        <c:axId val="5052836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281215"/>
        <c:crosses val="autoZero"/>
        <c:crossBetween val="between"/>
      </c:valAx>
      <c:valAx>
        <c:axId val="1207034799"/>
        <c:scaling>
          <c:orientation val="minMax"/>
        </c:scaling>
        <c:delete val="0"/>
        <c:axPos val="r"/>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790191"/>
        <c:crosses val="max"/>
        <c:crossBetween val="between"/>
      </c:valAx>
      <c:dateAx>
        <c:axId val="696790191"/>
        <c:scaling>
          <c:orientation val="minMax"/>
        </c:scaling>
        <c:delete val="1"/>
        <c:axPos val="b"/>
        <c:numFmt formatCode="m/d/yyyy" sourceLinked="1"/>
        <c:majorTickMark val="out"/>
        <c:minorTickMark val="none"/>
        <c:tickLblPos val="nextTo"/>
        <c:crossAx val="1207034799"/>
        <c:crosses val="autoZero"/>
        <c:auto val="1"/>
        <c:lblOffset val="100"/>
        <c:baseTimeUnit val="day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'AMZN hist. focus 2'!$B$1</c:f>
              <c:strCache>
                <c:ptCount val="1"/>
                <c:pt idx="0">
                  <c:v>Volume</c:v>
                </c:pt>
              </c:strCache>
            </c:strRef>
          </c:tx>
          <c:spPr>
            <a:solidFill>
              <a:schemeClr val="accent1"/>
            </a:solidFill>
            <a:ln w="19050">
              <a:noFill/>
            </a:ln>
            <a:effectLst/>
          </c:spPr>
          <c:invertIfNegative val="0"/>
          <c:cat>
            <c:numRef>
              <c:f>'AMZN hist. focus 2'!$A$2:$A$15</c:f>
              <c:numCache>
                <c:formatCode>m/d/yyyy</c:formatCode>
                <c:ptCount val="14"/>
                <c:pt idx="0">
                  <c:v>45838</c:v>
                </c:pt>
                <c:pt idx="1">
                  <c:v>45839</c:v>
                </c:pt>
                <c:pt idx="2">
                  <c:v>45840</c:v>
                </c:pt>
                <c:pt idx="3">
                  <c:v>45841</c:v>
                </c:pt>
                <c:pt idx="4">
                  <c:v>45845</c:v>
                </c:pt>
                <c:pt idx="5">
                  <c:v>45846</c:v>
                </c:pt>
                <c:pt idx="6">
                  <c:v>45847</c:v>
                </c:pt>
                <c:pt idx="7">
                  <c:v>45848</c:v>
                </c:pt>
                <c:pt idx="8">
                  <c:v>45849</c:v>
                </c:pt>
                <c:pt idx="9">
                  <c:v>45852</c:v>
                </c:pt>
                <c:pt idx="10">
                  <c:v>45853</c:v>
                </c:pt>
                <c:pt idx="11">
                  <c:v>45854</c:v>
                </c:pt>
                <c:pt idx="12">
                  <c:v>45855</c:v>
                </c:pt>
                <c:pt idx="13">
                  <c:v>45856</c:v>
                </c:pt>
              </c:numCache>
            </c:numRef>
          </c:cat>
          <c:val>
            <c:numRef>
              <c:f>'AMZN hist. focus 2'!$B$2:$B$15</c:f>
              <c:numCache>
                <c:formatCode>#,##0</c:formatCode>
                <c:ptCount val="14"/>
                <c:pt idx="0">
                  <c:v>58887780</c:v>
                </c:pt>
                <c:pt idx="1">
                  <c:v>39256830</c:v>
                </c:pt>
                <c:pt idx="2">
                  <c:v>30894178</c:v>
                </c:pt>
                <c:pt idx="3">
                  <c:v>29632353</c:v>
                </c:pt>
                <c:pt idx="4">
                  <c:v>36604139</c:v>
                </c:pt>
                <c:pt idx="5">
                  <c:v>45691987</c:v>
                </c:pt>
                <c:pt idx="6">
                  <c:v>38155121</c:v>
                </c:pt>
                <c:pt idx="7">
                  <c:v>30370591</c:v>
                </c:pt>
                <c:pt idx="8">
                  <c:v>50518307</c:v>
                </c:pt>
                <c:pt idx="9">
                  <c:v>35702597</c:v>
                </c:pt>
                <c:pt idx="10">
                  <c:v>34907294</c:v>
                </c:pt>
                <c:pt idx="11">
                  <c:v>39535926</c:v>
                </c:pt>
                <c:pt idx="12">
                  <c:v>31855831</c:v>
                </c:pt>
                <c:pt idx="13">
                  <c:v>37833807</c:v>
                </c:pt>
              </c:numCache>
            </c:numRef>
          </c:val>
          <c:extLst>
            <c:ext xmlns:c16="http://schemas.microsoft.com/office/drawing/2014/chart" uri="{C3380CC4-5D6E-409C-BE32-E72D297353CC}">
              <c16:uniqueId val="{00000000-C095-45EE-9801-CC1DDB285124}"/>
            </c:ext>
          </c:extLst>
        </c:ser>
        <c:dLbls>
          <c:showLegendKey val="0"/>
          <c:showVal val="0"/>
          <c:showCatName val="0"/>
          <c:showSerName val="0"/>
          <c:showPercent val="0"/>
          <c:showBubbleSize val="0"/>
        </c:dLbls>
        <c:gapWidth val="150"/>
        <c:axId val="1137506943"/>
        <c:axId val="59406735"/>
      </c:barChart>
      <c:stockChart>
        <c:ser>
          <c:idx val="1"/>
          <c:order val="1"/>
          <c:tx>
            <c:strRef>
              <c:f>'AMZN hist. focus 2'!$C$1</c:f>
              <c:strCache>
                <c:ptCount val="1"/>
                <c:pt idx="0">
                  <c:v>Open</c:v>
                </c:pt>
              </c:strCache>
            </c:strRef>
          </c:tx>
          <c:spPr>
            <a:ln w="19050" cap="rnd">
              <a:noFill/>
              <a:round/>
            </a:ln>
            <a:effectLst/>
          </c:spPr>
          <c:marker>
            <c:symbol val="none"/>
          </c:marker>
          <c:cat>
            <c:numRef>
              <c:f>'AMZN hist. focus 2'!$A$2:$A$15</c:f>
              <c:numCache>
                <c:formatCode>m/d/yyyy</c:formatCode>
                <c:ptCount val="14"/>
                <c:pt idx="0">
                  <c:v>45838</c:v>
                </c:pt>
                <c:pt idx="1">
                  <c:v>45839</c:v>
                </c:pt>
                <c:pt idx="2">
                  <c:v>45840</c:v>
                </c:pt>
                <c:pt idx="3">
                  <c:v>45841</c:v>
                </c:pt>
                <c:pt idx="4">
                  <c:v>45845</c:v>
                </c:pt>
                <c:pt idx="5">
                  <c:v>45846</c:v>
                </c:pt>
                <c:pt idx="6">
                  <c:v>45847</c:v>
                </c:pt>
                <c:pt idx="7">
                  <c:v>45848</c:v>
                </c:pt>
                <c:pt idx="8">
                  <c:v>45849</c:v>
                </c:pt>
                <c:pt idx="9">
                  <c:v>45852</c:v>
                </c:pt>
                <c:pt idx="10">
                  <c:v>45853</c:v>
                </c:pt>
                <c:pt idx="11">
                  <c:v>45854</c:v>
                </c:pt>
                <c:pt idx="12">
                  <c:v>45855</c:v>
                </c:pt>
                <c:pt idx="13">
                  <c:v>45856</c:v>
                </c:pt>
              </c:numCache>
            </c:numRef>
          </c:cat>
          <c:val>
            <c:numRef>
              <c:f>'AMZN hist. focus 2'!$C$2:$C$15</c:f>
              <c:numCache>
                <c:formatCode>_([$$-409]* #,##0.00_);_([$$-409]* \(#,##0.00\);_([$$-409]* "-"??_);_(@_)</c:formatCode>
                <c:ptCount val="14"/>
                <c:pt idx="0">
                  <c:v>223.52</c:v>
                </c:pt>
                <c:pt idx="1">
                  <c:v>219.5</c:v>
                </c:pt>
                <c:pt idx="2">
                  <c:v>219.73</c:v>
                </c:pt>
                <c:pt idx="3">
                  <c:v>221.82</c:v>
                </c:pt>
                <c:pt idx="4">
                  <c:v>223</c:v>
                </c:pt>
                <c:pt idx="5">
                  <c:v>223.91499999999999</c:v>
                </c:pt>
                <c:pt idx="6">
                  <c:v>221.07</c:v>
                </c:pt>
                <c:pt idx="7">
                  <c:v>221.55</c:v>
                </c:pt>
                <c:pt idx="8">
                  <c:v>223.58</c:v>
                </c:pt>
                <c:pt idx="9">
                  <c:v>225.07</c:v>
                </c:pt>
                <c:pt idx="10">
                  <c:v>226.2</c:v>
                </c:pt>
                <c:pt idx="11">
                  <c:v>225.875</c:v>
                </c:pt>
                <c:pt idx="12">
                  <c:v>223.32</c:v>
                </c:pt>
                <c:pt idx="13">
                  <c:v>225.14</c:v>
                </c:pt>
              </c:numCache>
            </c:numRef>
          </c:val>
          <c:smooth val="0"/>
          <c:extLst>
            <c:ext xmlns:c16="http://schemas.microsoft.com/office/drawing/2014/chart" uri="{C3380CC4-5D6E-409C-BE32-E72D297353CC}">
              <c16:uniqueId val="{00000001-C095-45EE-9801-CC1DDB285124}"/>
            </c:ext>
          </c:extLst>
        </c:ser>
        <c:ser>
          <c:idx val="2"/>
          <c:order val="2"/>
          <c:tx>
            <c:strRef>
              <c:f>'AMZN hist. focus 2'!$D$1</c:f>
              <c:strCache>
                <c:ptCount val="1"/>
                <c:pt idx="0">
                  <c:v>High</c:v>
                </c:pt>
              </c:strCache>
            </c:strRef>
          </c:tx>
          <c:spPr>
            <a:ln w="19050" cap="rnd">
              <a:noFill/>
              <a:round/>
            </a:ln>
            <a:effectLst/>
          </c:spPr>
          <c:marker>
            <c:symbol val="none"/>
          </c:marker>
          <c:cat>
            <c:numRef>
              <c:f>'AMZN hist. focus 2'!$A$2:$A$15</c:f>
              <c:numCache>
                <c:formatCode>m/d/yyyy</c:formatCode>
                <c:ptCount val="14"/>
                <c:pt idx="0">
                  <c:v>45838</c:v>
                </c:pt>
                <c:pt idx="1">
                  <c:v>45839</c:v>
                </c:pt>
                <c:pt idx="2">
                  <c:v>45840</c:v>
                </c:pt>
                <c:pt idx="3">
                  <c:v>45841</c:v>
                </c:pt>
                <c:pt idx="4">
                  <c:v>45845</c:v>
                </c:pt>
                <c:pt idx="5">
                  <c:v>45846</c:v>
                </c:pt>
                <c:pt idx="6">
                  <c:v>45847</c:v>
                </c:pt>
                <c:pt idx="7">
                  <c:v>45848</c:v>
                </c:pt>
                <c:pt idx="8">
                  <c:v>45849</c:v>
                </c:pt>
                <c:pt idx="9">
                  <c:v>45852</c:v>
                </c:pt>
                <c:pt idx="10">
                  <c:v>45853</c:v>
                </c:pt>
                <c:pt idx="11">
                  <c:v>45854</c:v>
                </c:pt>
                <c:pt idx="12">
                  <c:v>45855</c:v>
                </c:pt>
                <c:pt idx="13">
                  <c:v>45856</c:v>
                </c:pt>
              </c:numCache>
            </c:numRef>
          </c:cat>
          <c:val>
            <c:numRef>
              <c:f>'AMZN hist. focus 2'!$D$2:$D$15</c:f>
              <c:numCache>
                <c:formatCode>_([$$-409]* #,##0.00_);_([$$-409]* \(#,##0.00\);_([$$-409]* "-"??_);_(@_)</c:formatCode>
                <c:ptCount val="14"/>
                <c:pt idx="0">
                  <c:v>223.82</c:v>
                </c:pt>
                <c:pt idx="1">
                  <c:v>221.875</c:v>
                </c:pt>
                <c:pt idx="2">
                  <c:v>221.6</c:v>
                </c:pt>
                <c:pt idx="3">
                  <c:v>224.01</c:v>
                </c:pt>
                <c:pt idx="4">
                  <c:v>224.29</c:v>
                </c:pt>
                <c:pt idx="5">
                  <c:v>224</c:v>
                </c:pt>
                <c:pt idx="6">
                  <c:v>224.29</c:v>
                </c:pt>
                <c:pt idx="7">
                  <c:v>222.79</c:v>
                </c:pt>
                <c:pt idx="8">
                  <c:v>226.6799</c:v>
                </c:pt>
                <c:pt idx="9">
                  <c:v>226.66</c:v>
                </c:pt>
                <c:pt idx="10">
                  <c:v>227.27</c:v>
                </c:pt>
                <c:pt idx="11">
                  <c:v>226.1</c:v>
                </c:pt>
                <c:pt idx="12">
                  <c:v>224.5</c:v>
                </c:pt>
                <c:pt idx="13">
                  <c:v>226.4</c:v>
                </c:pt>
              </c:numCache>
            </c:numRef>
          </c:val>
          <c:smooth val="0"/>
          <c:extLst>
            <c:ext xmlns:c16="http://schemas.microsoft.com/office/drawing/2014/chart" uri="{C3380CC4-5D6E-409C-BE32-E72D297353CC}">
              <c16:uniqueId val="{00000002-C095-45EE-9801-CC1DDB285124}"/>
            </c:ext>
          </c:extLst>
        </c:ser>
        <c:ser>
          <c:idx val="3"/>
          <c:order val="3"/>
          <c:tx>
            <c:strRef>
              <c:f>'AMZN hist. focus 2'!$E$1</c:f>
              <c:strCache>
                <c:ptCount val="1"/>
                <c:pt idx="0">
                  <c:v>Low</c:v>
                </c:pt>
              </c:strCache>
            </c:strRef>
          </c:tx>
          <c:spPr>
            <a:ln w="19050" cap="rnd">
              <a:noFill/>
              <a:round/>
            </a:ln>
            <a:effectLst/>
          </c:spPr>
          <c:marker>
            <c:symbol val="none"/>
          </c:marker>
          <c:cat>
            <c:numRef>
              <c:f>'AMZN hist. focus 2'!$A$2:$A$15</c:f>
              <c:numCache>
                <c:formatCode>m/d/yyyy</c:formatCode>
                <c:ptCount val="14"/>
                <c:pt idx="0">
                  <c:v>45838</c:v>
                </c:pt>
                <c:pt idx="1">
                  <c:v>45839</c:v>
                </c:pt>
                <c:pt idx="2">
                  <c:v>45840</c:v>
                </c:pt>
                <c:pt idx="3">
                  <c:v>45841</c:v>
                </c:pt>
                <c:pt idx="4">
                  <c:v>45845</c:v>
                </c:pt>
                <c:pt idx="5">
                  <c:v>45846</c:v>
                </c:pt>
                <c:pt idx="6">
                  <c:v>45847</c:v>
                </c:pt>
                <c:pt idx="7">
                  <c:v>45848</c:v>
                </c:pt>
                <c:pt idx="8">
                  <c:v>45849</c:v>
                </c:pt>
                <c:pt idx="9">
                  <c:v>45852</c:v>
                </c:pt>
                <c:pt idx="10">
                  <c:v>45853</c:v>
                </c:pt>
                <c:pt idx="11">
                  <c:v>45854</c:v>
                </c:pt>
                <c:pt idx="12">
                  <c:v>45855</c:v>
                </c:pt>
                <c:pt idx="13">
                  <c:v>45856</c:v>
                </c:pt>
              </c:numCache>
            </c:numRef>
          </c:cat>
          <c:val>
            <c:numRef>
              <c:f>'AMZN hist. focus 2'!$E$2:$E$15</c:f>
              <c:numCache>
                <c:formatCode>_([$$-409]* #,##0.00_);_([$$-409]* \(#,##0.00\);_([$$-409]* "-"??_);_(@_)</c:formatCode>
                <c:ptCount val="14"/>
                <c:pt idx="0">
                  <c:v>219.12</c:v>
                </c:pt>
                <c:pt idx="1">
                  <c:v>217.93</c:v>
                </c:pt>
                <c:pt idx="2">
                  <c:v>219.06</c:v>
                </c:pt>
                <c:pt idx="3">
                  <c:v>221.36</c:v>
                </c:pt>
                <c:pt idx="4">
                  <c:v>222.37</c:v>
                </c:pt>
                <c:pt idx="5">
                  <c:v>218.43</c:v>
                </c:pt>
                <c:pt idx="6">
                  <c:v>220.47</c:v>
                </c:pt>
                <c:pt idx="7">
                  <c:v>219.7</c:v>
                </c:pt>
                <c:pt idx="8">
                  <c:v>222.37</c:v>
                </c:pt>
                <c:pt idx="9">
                  <c:v>224.24</c:v>
                </c:pt>
                <c:pt idx="10">
                  <c:v>225.45500000000001</c:v>
                </c:pt>
                <c:pt idx="11">
                  <c:v>222.18</c:v>
                </c:pt>
                <c:pt idx="12">
                  <c:v>222.51</c:v>
                </c:pt>
                <c:pt idx="13">
                  <c:v>222.98</c:v>
                </c:pt>
              </c:numCache>
            </c:numRef>
          </c:val>
          <c:smooth val="0"/>
          <c:extLst>
            <c:ext xmlns:c16="http://schemas.microsoft.com/office/drawing/2014/chart" uri="{C3380CC4-5D6E-409C-BE32-E72D297353CC}">
              <c16:uniqueId val="{00000003-C095-45EE-9801-CC1DDB285124}"/>
            </c:ext>
          </c:extLst>
        </c:ser>
        <c:ser>
          <c:idx val="4"/>
          <c:order val="4"/>
          <c:tx>
            <c:strRef>
              <c:f>'AMZN hist. focus 2'!$F$1</c:f>
              <c:strCache>
                <c:ptCount val="1"/>
                <c:pt idx="0">
                  <c:v>Close</c:v>
                </c:pt>
              </c:strCache>
            </c:strRef>
          </c:tx>
          <c:spPr>
            <a:ln w="19050" cap="rnd">
              <a:noFill/>
              <a:round/>
            </a:ln>
            <a:effectLst/>
          </c:spPr>
          <c:marker>
            <c:symbol val="none"/>
          </c:marker>
          <c:cat>
            <c:numRef>
              <c:f>'AMZN hist. focus 2'!$A$2:$A$15</c:f>
              <c:numCache>
                <c:formatCode>m/d/yyyy</c:formatCode>
                <c:ptCount val="14"/>
                <c:pt idx="0">
                  <c:v>45838</c:v>
                </c:pt>
                <c:pt idx="1">
                  <c:v>45839</c:v>
                </c:pt>
                <c:pt idx="2">
                  <c:v>45840</c:v>
                </c:pt>
                <c:pt idx="3">
                  <c:v>45841</c:v>
                </c:pt>
                <c:pt idx="4">
                  <c:v>45845</c:v>
                </c:pt>
                <c:pt idx="5">
                  <c:v>45846</c:v>
                </c:pt>
                <c:pt idx="6">
                  <c:v>45847</c:v>
                </c:pt>
                <c:pt idx="7">
                  <c:v>45848</c:v>
                </c:pt>
                <c:pt idx="8">
                  <c:v>45849</c:v>
                </c:pt>
                <c:pt idx="9">
                  <c:v>45852</c:v>
                </c:pt>
                <c:pt idx="10">
                  <c:v>45853</c:v>
                </c:pt>
                <c:pt idx="11">
                  <c:v>45854</c:v>
                </c:pt>
                <c:pt idx="12">
                  <c:v>45855</c:v>
                </c:pt>
                <c:pt idx="13">
                  <c:v>45856</c:v>
                </c:pt>
              </c:numCache>
            </c:numRef>
          </c:cat>
          <c:val>
            <c:numRef>
              <c:f>'AMZN hist. focus 2'!$F$2:$F$15</c:f>
              <c:numCache>
                <c:formatCode>_([$$-409]* #,##0.00_);_([$$-409]* \(#,##0.00\);_([$$-409]* "-"??_);_(@_)</c:formatCode>
                <c:ptCount val="14"/>
                <c:pt idx="0">
                  <c:v>219.39</c:v>
                </c:pt>
                <c:pt idx="1">
                  <c:v>220.46</c:v>
                </c:pt>
                <c:pt idx="2">
                  <c:v>219.92</c:v>
                </c:pt>
                <c:pt idx="3">
                  <c:v>223.41</c:v>
                </c:pt>
                <c:pt idx="4">
                  <c:v>223.47</c:v>
                </c:pt>
                <c:pt idx="5">
                  <c:v>219.36</c:v>
                </c:pt>
                <c:pt idx="6">
                  <c:v>222.54</c:v>
                </c:pt>
                <c:pt idx="7">
                  <c:v>222.26</c:v>
                </c:pt>
                <c:pt idx="8">
                  <c:v>225.02</c:v>
                </c:pt>
                <c:pt idx="9">
                  <c:v>225.69</c:v>
                </c:pt>
                <c:pt idx="10">
                  <c:v>226.35</c:v>
                </c:pt>
                <c:pt idx="11">
                  <c:v>223.19</c:v>
                </c:pt>
                <c:pt idx="12">
                  <c:v>223.88</c:v>
                </c:pt>
                <c:pt idx="13">
                  <c:v>226.13</c:v>
                </c:pt>
              </c:numCache>
            </c:numRef>
          </c:val>
          <c:smooth val="0"/>
          <c:extLst>
            <c:ext xmlns:c16="http://schemas.microsoft.com/office/drawing/2014/chart" uri="{C3380CC4-5D6E-409C-BE32-E72D297353CC}">
              <c16:uniqueId val="{00000004-C095-45EE-9801-CC1DDB285124}"/>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chemeClr val="lt1"/>
              </a:solidFill>
              <a:ln w="9525" cap="flat" cmpd="sng" algn="ctr">
                <a:solidFill>
                  <a:schemeClr val="tx1">
                    <a:lumMod val="65000"/>
                    <a:lumOff val="35000"/>
                  </a:schemeClr>
                </a:solidFill>
                <a:round/>
              </a:ln>
              <a:effectLst/>
            </c:spPr>
          </c:upBars>
          <c:downBars>
            <c:spPr>
              <a:solidFill>
                <a:schemeClr val="dk1">
                  <a:lumMod val="75000"/>
                  <a:lumOff val="25000"/>
                </a:schemeClr>
              </a:solidFill>
              <a:ln w="9525" cap="flat" cmpd="sng" algn="ctr">
                <a:solidFill>
                  <a:schemeClr val="tx1">
                    <a:lumMod val="65000"/>
                    <a:lumOff val="35000"/>
                  </a:schemeClr>
                </a:solidFill>
                <a:round/>
              </a:ln>
              <a:effectLst/>
            </c:spPr>
          </c:downBars>
        </c:upDownBars>
        <c:axId val="170818943"/>
        <c:axId val="170818463"/>
      </c:stockChart>
      <c:dateAx>
        <c:axId val="1137506943"/>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59406735"/>
        <c:crosses val="autoZero"/>
        <c:auto val="1"/>
        <c:lblOffset val="100"/>
        <c:baseTimeUnit val="days"/>
      </c:dateAx>
      <c:valAx>
        <c:axId val="594067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506943"/>
        <c:crosses val="autoZero"/>
        <c:crossBetween val="between"/>
      </c:valAx>
      <c:valAx>
        <c:axId val="170818463"/>
        <c:scaling>
          <c:orientation val="minMax"/>
        </c:scaling>
        <c:delete val="0"/>
        <c:axPos val="r"/>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818943"/>
        <c:crosses val="max"/>
        <c:crossBetween val="between"/>
      </c:valAx>
      <c:dateAx>
        <c:axId val="170818943"/>
        <c:scaling>
          <c:orientation val="minMax"/>
        </c:scaling>
        <c:delete val="1"/>
        <c:axPos val="b"/>
        <c:numFmt formatCode="m/d/yyyy" sourceLinked="1"/>
        <c:majorTickMark val="out"/>
        <c:minorTickMark val="none"/>
        <c:tickLblPos val="nextTo"/>
        <c:crossAx val="170818463"/>
        <c:crosses val="autoZero"/>
        <c:auto val="1"/>
        <c:lblOffset val="100"/>
        <c:baseTimeUnit val="day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'JPM SA (Graph)'!$E$9</c:f>
              <c:strCache>
                <c:ptCount val="1"/>
                <c:pt idx="0">
                  <c:v>Net Interest Income</c:v>
                </c:pt>
              </c:strCache>
            </c:strRef>
          </c:tx>
          <c:spPr>
            <a:ln w="76200">
              <a:solidFill>
                <a:srgbClr val="0070C0"/>
              </a:solidFill>
            </a:ln>
          </c:spPr>
          <c:marker>
            <c:spPr>
              <a:solidFill>
                <a:schemeClr val="accent5"/>
              </a:solidFill>
              <a:ln w="76200">
                <a:noFill/>
              </a:ln>
            </c:spPr>
          </c:marker>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f>'JPM SA (Graph)'!$F$5:$P$6</c:f>
              <c:multiLvlStrCache>
                <c:ptCount val="11"/>
                <c:lvl>
                  <c:pt idx="0">
                    <c:v>Dec '25 Dec 31, 2025</c:v>
                  </c:pt>
                  <c:pt idx="1">
                    <c:v>Sep '25 Sep 30, 2025</c:v>
                  </c:pt>
                  <c:pt idx="2">
                    <c:v>Jun '25 Jun 30, 2025</c:v>
                  </c:pt>
                  <c:pt idx="3">
                    <c:v>Mar '25 Mar 31, 2025</c:v>
                  </c:pt>
                  <c:pt idx="4">
                    <c:v>Dec '24 Dec 31, 2024</c:v>
                  </c:pt>
                  <c:pt idx="5">
                    <c:v>Sep '24 Sep 30, 2024</c:v>
                  </c:pt>
                  <c:pt idx="6">
                    <c:v>Jun '24 Jun 30, 2024</c:v>
                  </c:pt>
                  <c:pt idx="7">
                    <c:v>Mar '24 Mar 31, 2024</c:v>
                  </c:pt>
                  <c:pt idx="8">
                    <c:v>Dec '23 Dec 31, 2023</c:v>
                  </c:pt>
                  <c:pt idx="9">
                    <c:v>Sep '23 Sep 30, 2023</c:v>
                  </c:pt>
                  <c:pt idx="10">
                    <c:v>Jun '23 Jun 30, 2023</c:v>
                  </c:pt>
                </c:lvl>
                <c:lvl>
                  <c:pt idx="0">
                    <c:v>Q4 2025</c:v>
                  </c:pt>
                  <c:pt idx="1">
                    <c:v>Q3 2025</c:v>
                  </c:pt>
                  <c:pt idx="2">
                    <c:v>Q2 2025</c:v>
                  </c:pt>
                  <c:pt idx="3">
                    <c:v>Q1 2025</c:v>
                  </c:pt>
                  <c:pt idx="4">
                    <c:v>Q4 2024</c:v>
                  </c:pt>
                  <c:pt idx="5">
                    <c:v>Q3 2024</c:v>
                  </c:pt>
                  <c:pt idx="6">
                    <c:v>Q2 2024</c:v>
                  </c:pt>
                  <c:pt idx="7">
                    <c:v>Q1 2024</c:v>
                  </c:pt>
                  <c:pt idx="8">
                    <c:v>Q4 2023</c:v>
                  </c:pt>
                  <c:pt idx="9">
                    <c:v>Q3 2023</c:v>
                  </c:pt>
                  <c:pt idx="10">
                    <c:v>Q2 2023</c:v>
                  </c:pt>
                </c:lvl>
              </c:multiLvlStrCache>
            </c:multiLvlStrRef>
          </c:cat>
          <c:val>
            <c:numRef>
              <c:f>'JPM SA (Graph)'!$F$9:$P$9</c:f>
              <c:numCache>
                <c:formatCode>#,##0</c:formatCode>
                <c:ptCount val="11"/>
                <c:pt idx="0">
                  <c:v>24995</c:v>
                </c:pt>
                <c:pt idx="1">
                  <c:v>23966</c:v>
                </c:pt>
                <c:pt idx="2">
                  <c:v>23209</c:v>
                </c:pt>
                <c:pt idx="3">
                  <c:v>23273</c:v>
                </c:pt>
                <c:pt idx="4">
                  <c:v>23350</c:v>
                </c:pt>
                <c:pt idx="5">
                  <c:v>23405</c:v>
                </c:pt>
                <c:pt idx="6">
                  <c:v>22746</c:v>
                </c:pt>
                <c:pt idx="7">
                  <c:v>23082</c:v>
                </c:pt>
                <c:pt idx="8">
                  <c:v>24051</c:v>
                </c:pt>
                <c:pt idx="9">
                  <c:v>22726</c:v>
                </c:pt>
                <c:pt idx="10">
                  <c:v>21779</c:v>
                </c:pt>
              </c:numCache>
            </c:numRef>
          </c:val>
          <c:smooth val="0"/>
          <c:extLst>
            <c:ext xmlns:c16="http://schemas.microsoft.com/office/drawing/2014/chart" uri="{C3380CC4-5D6E-409C-BE32-E72D297353CC}">
              <c16:uniqueId val="{00000003-E645-42AE-86B3-E8AF06EF502B}"/>
            </c:ext>
          </c:extLst>
        </c:ser>
        <c:ser>
          <c:idx val="0"/>
          <c:order val="1"/>
          <c:tx>
            <c:strRef>
              <c:f>'JPM SA (Graph)'!$E$26</c:f>
              <c:strCache>
                <c:ptCount val="1"/>
                <c:pt idx="0">
                  <c:v>Total Non-Interest Expense</c:v>
                </c:pt>
              </c:strCache>
            </c:strRef>
          </c:tx>
          <c:spPr>
            <a:ln w="28575" cap="rnd">
              <a:solidFill>
                <a:srgbClr val="FF0000"/>
              </a:solidFill>
              <a:round/>
            </a:ln>
            <a:effectLst/>
          </c:spPr>
          <c:marker>
            <c:symbol val="circle"/>
            <c:size val="5"/>
            <c:spPr>
              <a:solidFill>
                <a:schemeClr val="accent1"/>
              </a:solidFill>
              <a:ln w="9525">
                <a:solidFill>
                  <a:srgbClr val="FF0000"/>
                </a:solidFill>
              </a:ln>
              <a:effectLst/>
            </c:spPr>
          </c:marker>
          <c:cat>
            <c:multiLvlStrRef>
              <c:f>'JPM SA (Graph)'!$F$5:$P$6</c:f>
              <c:multiLvlStrCache>
                <c:ptCount val="11"/>
                <c:lvl>
                  <c:pt idx="0">
                    <c:v>Dec '25 Dec 31, 2025</c:v>
                  </c:pt>
                  <c:pt idx="1">
                    <c:v>Sep '25 Sep 30, 2025</c:v>
                  </c:pt>
                  <c:pt idx="2">
                    <c:v>Jun '25 Jun 30, 2025</c:v>
                  </c:pt>
                  <c:pt idx="3">
                    <c:v>Mar '25 Mar 31, 2025</c:v>
                  </c:pt>
                  <c:pt idx="4">
                    <c:v>Dec '24 Dec 31, 2024</c:v>
                  </c:pt>
                  <c:pt idx="5">
                    <c:v>Sep '24 Sep 30, 2024</c:v>
                  </c:pt>
                  <c:pt idx="6">
                    <c:v>Jun '24 Jun 30, 2024</c:v>
                  </c:pt>
                  <c:pt idx="7">
                    <c:v>Mar '24 Mar 31, 2024</c:v>
                  </c:pt>
                  <c:pt idx="8">
                    <c:v>Dec '23 Dec 31, 2023</c:v>
                  </c:pt>
                  <c:pt idx="9">
                    <c:v>Sep '23 Sep 30, 2023</c:v>
                  </c:pt>
                  <c:pt idx="10">
                    <c:v>Jun '23 Jun 30, 2023</c:v>
                  </c:pt>
                </c:lvl>
                <c:lvl>
                  <c:pt idx="0">
                    <c:v>Q4 2025</c:v>
                  </c:pt>
                  <c:pt idx="1">
                    <c:v>Q3 2025</c:v>
                  </c:pt>
                  <c:pt idx="2">
                    <c:v>Q2 2025</c:v>
                  </c:pt>
                  <c:pt idx="3">
                    <c:v>Q1 2025</c:v>
                  </c:pt>
                  <c:pt idx="4">
                    <c:v>Q4 2024</c:v>
                  </c:pt>
                  <c:pt idx="5">
                    <c:v>Q3 2024</c:v>
                  </c:pt>
                  <c:pt idx="6">
                    <c:v>Q2 2024</c:v>
                  </c:pt>
                  <c:pt idx="7">
                    <c:v>Q1 2024</c:v>
                  </c:pt>
                  <c:pt idx="8">
                    <c:v>Q4 2023</c:v>
                  </c:pt>
                  <c:pt idx="9">
                    <c:v>Q3 2023</c:v>
                  </c:pt>
                  <c:pt idx="10">
                    <c:v>Q2 2023</c:v>
                  </c:pt>
                </c:lvl>
              </c:multiLvlStrCache>
            </c:multiLvlStrRef>
          </c:cat>
          <c:val>
            <c:numRef>
              <c:f>'JPM SA (Graph)'!$F$26:$P$26</c:f>
              <c:numCache>
                <c:formatCode>#,##0</c:formatCode>
                <c:ptCount val="11"/>
                <c:pt idx="0">
                  <c:v>23597</c:v>
                </c:pt>
                <c:pt idx="1">
                  <c:v>24219</c:v>
                </c:pt>
                <c:pt idx="2">
                  <c:v>23661</c:v>
                </c:pt>
                <c:pt idx="3">
                  <c:v>23799</c:v>
                </c:pt>
                <c:pt idx="4">
                  <c:v>22143</c:v>
                </c:pt>
                <c:pt idx="5">
                  <c:v>22306</c:v>
                </c:pt>
                <c:pt idx="6">
                  <c:v>23396</c:v>
                </c:pt>
                <c:pt idx="7">
                  <c:v>22104</c:v>
                </c:pt>
                <c:pt idx="8">
                  <c:v>20351</c:v>
                </c:pt>
                <c:pt idx="9">
                  <c:v>21092</c:v>
                </c:pt>
                <c:pt idx="10">
                  <c:v>20402</c:v>
                </c:pt>
              </c:numCache>
            </c:numRef>
          </c:val>
          <c:smooth val="0"/>
          <c:extLst>
            <c:ext xmlns:c16="http://schemas.microsoft.com/office/drawing/2014/chart" uri="{C3380CC4-5D6E-409C-BE32-E72D297353CC}">
              <c16:uniqueId val="{00000002-E645-42AE-86B3-E8AF06EF502B}"/>
            </c:ext>
          </c:extLst>
        </c:ser>
        <c:dLbls>
          <c:showLegendKey val="0"/>
          <c:showVal val="0"/>
          <c:showCatName val="0"/>
          <c:showSerName val="0"/>
          <c:showPercent val="0"/>
          <c:showBubbleSize val="0"/>
        </c:dLbls>
        <c:marker val="1"/>
        <c:smooth val="0"/>
        <c:axId val="1623294768"/>
        <c:axId val="1335839632"/>
      </c:lineChart>
      <c:catAx>
        <c:axId val="1623294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839632"/>
        <c:crosses val="autoZero"/>
        <c:auto val="1"/>
        <c:lblAlgn val="ctr"/>
        <c:lblOffset val="100"/>
        <c:noMultiLvlLbl val="0"/>
      </c:catAx>
      <c:valAx>
        <c:axId val="1335839632"/>
        <c:scaling>
          <c:orientation val="minMax"/>
          <c:min val="19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3294768"/>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2"/>
          <c:order val="1"/>
          <c:tx>
            <c:strRef>
              <c:f>'JPM SA (Graph)'!$E$35</c:f>
              <c:strCache>
                <c:ptCount val="1"/>
                <c:pt idx="0">
                  <c:v>Net Income Growth</c:v>
                </c:pt>
              </c:strCache>
            </c:strRef>
          </c:tx>
          <c:spPr>
            <a:ln w="28575" cap="rnd">
              <a:solidFill>
                <a:schemeClr val="accent1"/>
              </a:solidFill>
              <a:round/>
            </a:ln>
            <a:effectLst/>
          </c:spPr>
          <c:cat>
            <c:multiLvlStrRef>
              <c:f>'JPM SA (Graph)'!$F$5:$P$6</c:f>
              <c:multiLvlStrCache>
                <c:ptCount val="11"/>
                <c:lvl>
                  <c:pt idx="0">
                    <c:v>Dec '25 Dec 31, 2025</c:v>
                  </c:pt>
                  <c:pt idx="1">
                    <c:v>Sep '25 Sep 30, 2025</c:v>
                  </c:pt>
                  <c:pt idx="2">
                    <c:v>Jun '25 Jun 30, 2025</c:v>
                  </c:pt>
                  <c:pt idx="3">
                    <c:v>Mar '25 Mar 31, 2025</c:v>
                  </c:pt>
                  <c:pt idx="4">
                    <c:v>Dec '24 Dec 31, 2024</c:v>
                  </c:pt>
                  <c:pt idx="5">
                    <c:v>Sep '24 Sep 30, 2024</c:v>
                  </c:pt>
                  <c:pt idx="6">
                    <c:v>Jun '24 Jun 30, 2024</c:v>
                  </c:pt>
                  <c:pt idx="7">
                    <c:v>Mar '24 Mar 31, 2024</c:v>
                  </c:pt>
                  <c:pt idx="8">
                    <c:v>Dec '23 Dec 31, 2023</c:v>
                  </c:pt>
                  <c:pt idx="9">
                    <c:v>Sep '23 Sep 30, 2023</c:v>
                  </c:pt>
                  <c:pt idx="10">
                    <c:v>Jun '23 Jun 30, 2023</c:v>
                  </c:pt>
                </c:lvl>
                <c:lvl>
                  <c:pt idx="0">
                    <c:v>Q4 2025</c:v>
                  </c:pt>
                  <c:pt idx="1">
                    <c:v>Q3 2025</c:v>
                  </c:pt>
                  <c:pt idx="2">
                    <c:v>Q2 2025</c:v>
                  </c:pt>
                  <c:pt idx="3">
                    <c:v>Q1 2025</c:v>
                  </c:pt>
                  <c:pt idx="4">
                    <c:v>Q4 2024</c:v>
                  </c:pt>
                  <c:pt idx="5">
                    <c:v>Q3 2024</c:v>
                  </c:pt>
                  <c:pt idx="6">
                    <c:v>Q2 2024</c:v>
                  </c:pt>
                  <c:pt idx="7">
                    <c:v>Q1 2024</c:v>
                  </c:pt>
                  <c:pt idx="8">
                    <c:v>Q4 2023</c:v>
                  </c:pt>
                  <c:pt idx="9">
                    <c:v>Q3 2023</c:v>
                  </c:pt>
                  <c:pt idx="10">
                    <c:v>Q2 2023</c:v>
                  </c:pt>
                </c:lvl>
              </c:multiLvlStrCache>
            </c:multiLvlStrRef>
          </c:cat>
          <c:val>
            <c:numRef>
              <c:f>'JPM SA (Graph)'!$F$35:$P$35</c:f>
              <c:numCache>
                <c:formatCode>0.00%</c:formatCode>
                <c:ptCount val="11"/>
                <c:pt idx="0">
                  <c:v>-7.0000000000000007E-2</c:v>
                </c:pt>
                <c:pt idx="1">
                  <c:v>0.1159</c:v>
                </c:pt>
                <c:pt idx="2">
                  <c:v>-0.17419999999999999</c:v>
                </c:pt>
                <c:pt idx="3">
                  <c:v>9.1200000000000003E-2</c:v>
                </c:pt>
                <c:pt idx="4">
                  <c:v>0.50480000000000003</c:v>
                </c:pt>
                <c:pt idx="5">
                  <c:v>-1.9199999999999998E-2</c:v>
                </c:pt>
                <c:pt idx="6">
                  <c:v>0.25409999999999999</c:v>
                </c:pt>
                <c:pt idx="7">
                  <c:v>6.3100000000000003E-2</c:v>
                </c:pt>
                <c:pt idx="8">
                  <c:v>-0.1545</c:v>
                </c:pt>
                <c:pt idx="9">
                  <c:v>0.35060000000000002</c:v>
                </c:pt>
                <c:pt idx="10">
                  <c:v>0.67330000000000001</c:v>
                </c:pt>
              </c:numCache>
            </c:numRef>
          </c:val>
          <c:smooth val="0"/>
          <c:extLst>
            <c:ext xmlns:c16="http://schemas.microsoft.com/office/drawing/2014/chart" uri="{C3380CC4-5D6E-409C-BE32-E72D297353CC}">
              <c16:uniqueId val="{0000000B-CD27-4E7D-B7B0-2FCC77EFFCC5}"/>
            </c:ext>
          </c:extLst>
        </c:ser>
        <c:ser>
          <c:idx val="3"/>
          <c:order val="2"/>
          <c:tx>
            <c:strRef>
              <c:f>'JPM SA (Graph)'!$E$43</c:f>
              <c:strCache>
                <c:ptCount val="1"/>
                <c:pt idx="0">
                  <c:v>Dividend Growth</c:v>
                </c:pt>
              </c:strCache>
            </c:strRef>
          </c:tx>
          <c:spPr>
            <a:ln w="28575" cap="rnd">
              <a:solidFill>
                <a:schemeClr val="accent1"/>
              </a:solidFill>
              <a:round/>
            </a:ln>
            <a:effectLst/>
          </c:spPr>
          <c:marker>
            <c:spPr>
              <a:ln>
                <a:solidFill>
                  <a:schemeClr val="accent1"/>
                </a:solidFill>
              </a:ln>
            </c:spPr>
          </c:marker>
          <c:cat>
            <c:multiLvlStrRef>
              <c:f>'JPM SA (Graph)'!$F$5:$P$6</c:f>
              <c:multiLvlStrCache>
                <c:ptCount val="11"/>
                <c:lvl>
                  <c:pt idx="0">
                    <c:v>Dec '25 Dec 31, 2025</c:v>
                  </c:pt>
                  <c:pt idx="1">
                    <c:v>Sep '25 Sep 30, 2025</c:v>
                  </c:pt>
                  <c:pt idx="2">
                    <c:v>Jun '25 Jun 30, 2025</c:v>
                  </c:pt>
                  <c:pt idx="3">
                    <c:v>Mar '25 Mar 31, 2025</c:v>
                  </c:pt>
                  <c:pt idx="4">
                    <c:v>Dec '24 Dec 31, 2024</c:v>
                  </c:pt>
                  <c:pt idx="5">
                    <c:v>Sep '24 Sep 30, 2024</c:v>
                  </c:pt>
                  <c:pt idx="6">
                    <c:v>Jun '24 Jun 30, 2024</c:v>
                  </c:pt>
                  <c:pt idx="7">
                    <c:v>Mar '24 Mar 31, 2024</c:v>
                  </c:pt>
                  <c:pt idx="8">
                    <c:v>Dec '23 Dec 31, 2023</c:v>
                  </c:pt>
                  <c:pt idx="9">
                    <c:v>Sep '23 Sep 30, 2023</c:v>
                  </c:pt>
                  <c:pt idx="10">
                    <c:v>Jun '23 Jun 30, 2023</c:v>
                  </c:pt>
                </c:lvl>
                <c:lvl>
                  <c:pt idx="0">
                    <c:v>Q4 2025</c:v>
                  </c:pt>
                  <c:pt idx="1">
                    <c:v>Q3 2025</c:v>
                  </c:pt>
                  <c:pt idx="2">
                    <c:v>Q2 2025</c:v>
                  </c:pt>
                  <c:pt idx="3">
                    <c:v>Q1 2025</c:v>
                  </c:pt>
                  <c:pt idx="4">
                    <c:v>Q4 2024</c:v>
                  </c:pt>
                  <c:pt idx="5">
                    <c:v>Q3 2024</c:v>
                  </c:pt>
                  <c:pt idx="6">
                    <c:v>Q2 2024</c:v>
                  </c:pt>
                  <c:pt idx="7">
                    <c:v>Q1 2024</c:v>
                  </c:pt>
                  <c:pt idx="8">
                    <c:v>Q4 2023</c:v>
                  </c:pt>
                  <c:pt idx="9">
                    <c:v>Q3 2023</c:v>
                  </c:pt>
                  <c:pt idx="10">
                    <c:v>Q2 2023</c:v>
                  </c:pt>
                </c:lvl>
              </c:multiLvlStrCache>
            </c:multiLvlStrRef>
          </c:cat>
          <c:val>
            <c:numRef>
              <c:f>'JPM SA (Graph)'!$F$43:$P$43</c:f>
              <c:numCache>
                <c:formatCode>0.00%</c:formatCode>
                <c:ptCount val="11"/>
                <c:pt idx="0">
                  <c:v>0.2</c:v>
                </c:pt>
                <c:pt idx="1">
                  <c:v>0.2</c:v>
                </c:pt>
                <c:pt idx="2">
                  <c:v>0.21740000000000001</c:v>
                </c:pt>
                <c:pt idx="3">
                  <c:v>0.21740000000000001</c:v>
                </c:pt>
                <c:pt idx="4">
                  <c:v>0.1905</c:v>
                </c:pt>
                <c:pt idx="5">
                  <c:v>0.1905</c:v>
                </c:pt>
                <c:pt idx="6">
                  <c:v>0.15</c:v>
                </c:pt>
                <c:pt idx="7">
                  <c:v>0.15</c:v>
                </c:pt>
                <c:pt idx="8">
                  <c:v>0.05</c:v>
                </c:pt>
                <c:pt idx="9">
                  <c:v>0.05</c:v>
                </c:pt>
                <c:pt idx="10" formatCode="General">
                  <c:v>0</c:v>
                </c:pt>
              </c:numCache>
            </c:numRef>
          </c:val>
          <c:smooth val="0"/>
          <c:extLst>
            <c:ext xmlns:c16="http://schemas.microsoft.com/office/drawing/2014/chart" uri="{C3380CC4-5D6E-409C-BE32-E72D297353CC}">
              <c16:uniqueId val="{0000000C-CD27-4E7D-B7B0-2FCC77EFFCC5}"/>
            </c:ext>
          </c:extLst>
        </c:ser>
        <c:ser>
          <c:idx val="0"/>
          <c:order val="3"/>
          <c:tx>
            <c:strRef>
              <c:f>'JPM SA (Graph)'!$E$22</c:f>
              <c:strCache>
                <c:ptCount val="1"/>
                <c:pt idx="0">
                  <c:v>Revenue Growth (YoY)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'JPM SA (Graph)'!$F$5:$P$6</c:f>
              <c:multiLvlStrCache>
                <c:ptCount val="11"/>
                <c:lvl>
                  <c:pt idx="0">
                    <c:v>Dec '25 Dec 31, 2025</c:v>
                  </c:pt>
                  <c:pt idx="1">
                    <c:v>Sep '25 Sep 30, 2025</c:v>
                  </c:pt>
                  <c:pt idx="2">
                    <c:v>Jun '25 Jun 30, 2025</c:v>
                  </c:pt>
                  <c:pt idx="3">
                    <c:v>Mar '25 Mar 31, 2025</c:v>
                  </c:pt>
                  <c:pt idx="4">
                    <c:v>Dec '24 Dec 31, 2024</c:v>
                  </c:pt>
                  <c:pt idx="5">
                    <c:v>Sep '24 Sep 30, 2024</c:v>
                  </c:pt>
                  <c:pt idx="6">
                    <c:v>Jun '24 Jun 30, 2024</c:v>
                  </c:pt>
                  <c:pt idx="7">
                    <c:v>Mar '24 Mar 31, 2024</c:v>
                  </c:pt>
                  <c:pt idx="8">
                    <c:v>Dec '23 Dec 31, 2023</c:v>
                  </c:pt>
                  <c:pt idx="9">
                    <c:v>Sep '23 Sep 30, 2023</c:v>
                  </c:pt>
                  <c:pt idx="10">
                    <c:v>Jun '23 Jun 30, 2023</c:v>
                  </c:pt>
                </c:lvl>
                <c:lvl>
                  <c:pt idx="0">
                    <c:v>Q4 2025</c:v>
                  </c:pt>
                  <c:pt idx="1">
                    <c:v>Q3 2025</c:v>
                  </c:pt>
                  <c:pt idx="2">
                    <c:v>Q2 2025</c:v>
                  </c:pt>
                  <c:pt idx="3">
                    <c:v>Q1 2025</c:v>
                  </c:pt>
                  <c:pt idx="4">
                    <c:v>Q4 2024</c:v>
                  </c:pt>
                  <c:pt idx="5">
                    <c:v>Q3 2024</c:v>
                  </c:pt>
                  <c:pt idx="6">
                    <c:v>Q2 2024</c:v>
                  </c:pt>
                  <c:pt idx="7">
                    <c:v>Q1 2024</c:v>
                  </c:pt>
                  <c:pt idx="8">
                    <c:v>Q4 2023</c:v>
                  </c:pt>
                  <c:pt idx="9">
                    <c:v>Q3 2023</c:v>
                  </c:pt>
                  <c:pt idx="10">
                    <c:v>Q2 2023</c:v>
                  </c:pt>
                </c:lvl>
              </c:multiLvlStrCache>
            </c:multiLvlStrRef>
          </c:cat>
          <c:val>
            <c:numRef>
              <c:f>'JPM SA (Graph)'!$F$22:$P$22</c:f>
              <c:numCache>
                <c:formatCode>0.00%</c:formatCode>
                <c:ptCount val="11"/>
                <c:pt idx="0">
                  <c:v>2.5100000000000001E-2</c:v>
                </c:pt>
                <c:pt idx="1">
                  <c:v>8.7999999999999995E-2</c:v>
                </c:pt>
                <c:pt idx="2">
                  <c:v>-0.1056</c:v>
                </c:pt>
                <c:pt idx="3">
                  <c:v>4.8399999999999999E-2</c:v>
                </c:pt>
                <c:pt idx="4">
                  <c:v>0.1303</c:v>
                </c:pt>
                <c:pt idx="5">
                  <c:v>0.03</c:v>
                </c:pt>
                <c:pt idx="6">
                  <c:v>0.3175</c:v>
                </c:pt>
                <c:pt idx="7">
                  <c:v>0.11070000000000001</c:v>
                </c:pt>
                <c:pt idx="8">
                  <c:v>0.1011</c:v>
                </c:pt>
                <c:pt idx="9">
                  <c:v>0.23130000000000001</c:v>
                </c:pt>
                <c:pt idx="10">
                  <c:v>0.2054</c:v>
                </c:pt>
              </c:numCache>
            </c:numRef>
          </c:val>
          <c:smooth val="0"/>
          <c:extLst>
            <c:ext xmlns:c16="http://schemas.microsoft.com/office/drawing/2014/chart" uri="{C3380CC4-5D6E-409C-BE32-E72D297353CC}">
              <c16:uniqueId val="{00000009-CD27-4E7D-B7B0-2FCC77EFFCC5}"/>
            </c:ext>
          </c:extLst>
        </c:ser>
        <c:dLbls>
          <c:showLegendKey val="0"/>
          <c:showVal val="0"/>
          <c:showCatName val="0"/>
          <c:showSerName val="0"/>
          <c:showPercent val="0"/>
          <c:showBubbleSize val="0"/>
        </c:dLbls>
        <c:marker val="1"/>
        <c:smooth val="0"/>
        <c:axId val="1623294768"/>
        <c:axId val="1335839632"/>
      </c:lineChart>
      <c:lineChart>
        <c:grouping val="standard"/>
        <c:varyColors val="0"/>
        <c:ser>
          <c:idx val="1"/>
          <c:order val="0"/>
          <c:tx>
            <c:strRef>
              <c:f>'JPM SA (Graph)'!$E$18</c:f>
              <c:strCache>
                <c:ptCount val="1"/>
                <c:pt idx="0">
                  <c:v>Non-Interest Income Growth (YoY)</c:v>
                </c:pt>
              </c:strCache>
            </c:strRef>
          </c:tx>
          <c:spPr>
            <a:ln>
              <a:solidFill>
                <a:schemeClr val="accent5"/>
              </a:solidFill>
            </a:ln>
          </c:spPr>
          <c:marker>
            <c:spPr>
              <a:solidFill>
                <a:srgbClr val="0070C0"/>
              </a:solidFill>
              <a:ln>
                <a:solidFill>
                  <a:schemeClr val="accent5"/>
                </a:solidFill>
              </a:ln>
            </c:spPr>
          </c:marker>
          <c:cat>
            <c:multiLvlStrRef>
              <c:f>'JPM SA (Graph)'!$F$5:$P$6</c:f>
              <c:multiLvlStrCache>
                <c:ptCount val="11"/>
                <c:lvl>
                  <c:pt idx="0">
                    <c:v>Dec '25 Dec 31, 2025</c:v>
                  </c:pt>
                  <c:pt idx="1">
                    <c:v>Sep '25 Sep 30, 2025</c:v>
                  </c:pt>
                  <c:pt idx="2">
                    <c:v>Jun '25 Jun 30, 2025</c:v>
                  </c:pt>
                  <c:pt idx="3">
                    <c:v>Mar '25 Mar 31, 2025</c:v>
                  </c:pt>
                  <c:pt idx="4">
                    <c:v>Dec '24 Dec 31, 2024</c:v>
                  </c:pt>
                  <c:pt idx="5">
                    <c:v>Sep '24 Sep 30, 2024</c:v>
                  </c:pt>
                  <c:pt idx="6">
                    <c:v>Jun '24 Jun 30, 2024</c:v>
                  </c:pt>
                  <c:pt idx="7">
                    <c:v>Mar '24 Mar 31, 2024</c:v>
                  </c:pt>
                  <c:pt idx="8">
                    <c:v>Dec '23 Dec 31, 2023</c:v>
                  </c:pt>
                  <c:pt idx="9">
                    <c:v>Sep '23 Sep 30, 2023</c:v>
                  </c:pt>
                  <c:pt idx="10">
                    <c:v>Jun '23 Jun 30, 2023</c:v>
                  </c:pt>
                </c:lvl>
                <c:lvl>
                  <c:pt idx="0">
                    <c:v>Q4 2025</c:v>
                  </c:pt>
                  <c:pt idx="1">
                    <c:v>Q3 2025</c:v>
                  </c:pt>
                  <c:pt idx="2">
                    <c:v>Q2 2025</c:v>
                  </c:pt>
                  <c:pt idx="3">
                    <c:v>Q1 2025</c:v>
                  </c:pt>
                  <c:pt idx="4">
                    <c:v>Q4 2024</c:v>
                  </c:pt>
                  <c:pt idx="5">
                    <c:v>Q3 2024</c:v>
                  </c:pt>
                  <c:pt idx="6">
                    <c:v>Q2 2024</c:v>
                  </c:pt>
                  <c:pt idx="7">
                    <c:v>Q1 2024</c:v>
                  </c:pt>
                  <c:pt idx="8">
                    <c:v>Q4 2023</c:v>
                  </c:pt>
                  <c:pt idx="9">
                    <c:v>Q3 2023</c:v>
                  </c:pt>
                  <c:pt idx="10">
                    <c:v>Q2 2023</c:v>
                  </c:pt>
                </c:lvl>
              </c:multiLvlStrCache>
            </c:multiLvlStrRef>
          </c:cat>
          <c:val>
            <c:numRef>
              <c:f>'JPM SA (Graph)'!$F$18:$P$18</c:f>
              <c:numCache>
                <c:formatCode>0.00%</c:formatCode>
                <c:ptCount val="11"/>
                <c:pt idx="0">
                  <c:v>7.1300000000000002E-2</c:v>
                </c:pt>
                <c:pt idx="1">
                  <c:v>0.16689999999999999</c:v>
                </c:pt>
                <c:pt idx="2">
                  <c:v>-0.20599999999999999</c:v>
                </c:pt>
                <c:pt idx="3">
                  <c:v>0.16800000000000001</c:v>
                </c:pt>
                <c:pt idx="4">
                  <c:v>0.36549999999999999</c:v>
                </c:pt>
                <c:pt idx="5">
                  <c:v>0.12909999999999999</c:v>
                </c:pt>
                <c:pt idx="6">
                  <c:v>0.62549999999999994</c:v>
                </c:pt>
                <c:pt idx="7">
                  <c:v>6.9699999999999998E-2</c:v>
                </c:pt>
                <c:pt idx="8">
                  <c:v>-8.8000000000000005E-3</c:v>
                </c:pt>
                <c:pt idx="9">
                  <c:v>0.1217</c:v>
                </c:pt>
                <c:pt idx="10">
                  <c:v>7.8899999999999998E-2</c:v>
                </c:pt>
              </c:numCache>
            </c:numRef>
          </c:val>
          <c:smooth val="0"/>
          <c:extLst>
            <c:ext xmlns:c16="http://schemas.microsoft.com/office/drawing/2014/chart" uri="{C3380CC4-5D6E-409C-BE32-E72D297353CC}">
              <c16:uniqueId val="{0000000A-CD27-4E7D-B7B0-2FCC77EFFCC5}"/>
            </c:ext>
          </c:extLst>
        </c:ser>
        <c:dLbls>
          <c:showLegendKey val="0"/>
          <c:showVal val="0"/>
          <c:showCatName val="0"/>
          <c:showSerName val="0"/>
          <c:showPercent val="0"/>
          <c:showBubbleSize val="0"/>
        </c:dLbls>
        <c:marker val="1"/>
        <c:smooth val="0"/>
        <c:axId val="216133775"/>
        <c:axId val="216136655"/>
      </c:lineChart>
      <c:catAx>
        <c:axId val="1623294768"/>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839632"/>
        <c:crosses val="autoZero"/>
        <c:auto val="1"/>
        <c:lblAlgn val="ctr"/>
        <c:lblOffset val="100"/>
        <c:noMultiLvlLbl val="0"/>
      </c:catAx>
      <c:valAx>
        <c:axId val="13358396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3294768"/>
        <c:crosses val="autoZero"/>
        <c:crossBetween val="between"/>
      </c:valAx>
      <c:valAx>
        <c:axId val="216136655"/>
        <c:scaling>
          <c:orientation val="minMax"/>
        </c:scaling>
        <c:delete val="0"/>
        <c:axPos val="r"/>
        <c:numFmt formatCode="0.00%" sourceLinked="1"/>
        <c:majorTickMark val="out"/>
        <c:minorTickMark val="none"/>
        <c:tickLblPos val="nextTo"/>
        <c:crossAx val="216133775"/>
        <c:crosses val="max"/>
        <c:crossBetween val="between"/>
      </c:valAx>
      <c:catAx>
        <c:axId val="216133775"/>
        <c:scaling>
          <c:orientation val="minMax"/>
        </c:scaling>
        <c:delete val="1"/>
        <c:axPos val="b"/>
        <c:numFmt formatCode="General" sourceLinked="1"/>
        <c:majorTickMark val="out"/>
        <c:minorTickMark val="none"/>
        <c:tickLblPos val="nextTo"/>
        <c:crossAx val="216136655"/>
        <c:crosses val="autoZero"/>
        <c:auto val="1"/>
        <c:lblAlgn val="ctr"/>
        <c:lblOffset val="100"/>
        <c:noMultiLvlLbl val="0"/>
      </c:cat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'JPM SA (Graph)'!$E$20</c:f>
              <c:strCache>
                <c:ptCount val="1"/>
                <c:pt idx="0">
                  <c:v>Provision for Loan Losses</c:v>
                </c:pt>
              </c:strCache>
            </c:strRef>
          </c:tx>
          <c:spPr>
            <a:ln w="76200" cap="rnd">
              <a:solidFill>
                <a:srgbClr val="FF0000"/>
              </a:solidFill>
              <a:round/>
            </a:ln>
            <a:effectLst/>
          </c:spPr>
          <c:marker>
            <c:symbol val="circle"/>
            <c:size val="5"/>
            <c:spPr>
              <a:solidFill>
                <a:schemeClr val="accent1"/>
              </a:solidFill>
              <a:ln w="76200">
                <a:solidFill>
                  <a:srgbClr val="FF00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'JPM SA (Graph)'!$F$5:$P$6</c:f>
              <c:multiLvlStrCache>
                <c:ptCount val="11"/>
                <c:lvl>
                  <c:pt idx="0">
                    <c:v>Dec '25 Dec 31, 2025</c:v>
                  </c:pt>
                  <c:pt idx="1">
                    <c:v>Sep '25 Sep 30, 2025</c:v>
                  </c:pt>
                  <c:pt idx="2">
                    <c:v>Jun '25 Jun 30, 2025</c:v>
                  </c:pt>
                  <c:pt idx="3">
                    <c:v>Mar '25 Mar 31, 2025</c:v>
                  </c:pt>
                  <c:pt idx="4">
                    <c:v>Dec '24 Dec 31, 2024</c:v>
                  </c:pt>
                  <c:pt idx="5">
                    <c:v>Sep '24 Sep 30, 2024</c:v>
                  </c:pt>
                  <c:pt idx="6">
                    <c:v>Jun '24 Jun 30, 2024</c:v>
                  </c:pt>
                  <c:pt idx="7">
                    <c:v>Mar '24 Mar 31, 2024</c:v>
                  </c:pt>
                  <c:pt idx="8">
                    <c:v>Dec '23 Dec 31, 2023</c:v>
                  </c:pt>
                  <c:pt idx="9">
                    <c:v>Sep '23 Sep 30, 2023</c:v>
                  </c:pt>
                  <c:pt idx="10">
                    <c:v>Jun '23 Jun 30, 2023</c:v>
                  </c:pt>
                </c:lvl>
                <c:lvl>
                  <c:pt idx="0">
                    <c:v>Q4 2025</c:v>
                  </c:pt>
                  <c:pt idx="1">
                    <c:v>Q3 2025</c:v>
                  </c:pt>
                  <c:pt idx="2">
                    <c:v>Q2 2025</c:v>
                  </c:pt>
                  <c:pt idx="3">
                    <c:v>Q1 2025</c:v>
                  </c:pt>
                  <c:pt idx="4">
                    <c:v>Q4 2024</c:v>
                  </c:pt>
                  <c:pt idx="5">
                    <c:v>Q3 2024</c:v>
                  </c:pt>
                  <c:pt idx="6">
                    <c:v>Q2 2024</c:v>
                  </c:pt>
                  <c:pt idx="7">
                    <c:v>Q1 2024</c:v>
                  </c:pt>
                  <c:pt idx="8">
                    <c:v>Q4 2023</c:v>
                  </c:pt>
                  <c:pt idx="9">
                    <c:v>Q3 2023</c:v>
                  </c:pt>
                  <c:pt idx="10">
                    <c:v>Q2 2023</c:v>
                  </c:pt>
                </c:lvl>
              </c:multiLvlStrCache>
            </c:multiLvlStrRef>
          </c:cat>
          <c:val>
            <c:numRef>
              <c:f>'JPM SA (Graph)'!$F$20:$P$20</c:f>
              <c:numCache>
                <c:formatCode>#,##0</c:formatCode>
                <c:ptCount val="11"/>
                <c:pt idx="0">
                  <c:v>4655</c:v>
                </c:pt>
                <c:pt idx="1">
                  <c:v>3403</c:v>
                </c:pt>
                <c:pt idx="2">
                  <c:v>2849</c:v>
                </c:pt>
                <c:pt idx="3">
                  <c:v>3305</c:v>
                </c:pt>
                <c:pt idx="4">
                  <c:v>2631</c:v>
                </c:pt>
                <c:pt idx="5">
                  <c:v>3111</c:v>
                </c:pt>
                <c:pt idx="6">
                  <c:v>3052</c:v>
                </c:pt>
                <c:pt idx="7">
                  <c:v>1884</c:v>
                </c:pt>
                <c:pt idx="8">
                  <c:v>2762</c:v>
                </c:pt>
                <c:pt idx="9">
                  <c:v>1384</c:v>
                </c:pt>
                <c:pt idx="10">
                  <c:v>2899</c:v>
                </c:pt>
              </c:numCache>
            </c:numRef>
          </c:val>
          <c:smooth val="0"/>
          <c:extLst>
            <c:ext xmlns:c16="http://schemas.microsoft.com/office/drawing/2014/chart" uri="{C3380CC4-5D6E-409C-BE32-E72D297353CC}">
              <c16:uniqueId val="{00000000-51DD-4DA6-9309-1F0343F33181}"/>
            </c:ext>
          </c:extLst>
        </c:ser>
        <c:dLbls>
          <c:showLegendKey val="0"/>
          <c:showVal val="0"/>
          <c:showCatName val="0"/>
          <c:showSerName val="0"/>
          <c:showPercent val="0"/>
          <c:showBubbleSize val="0"/>
        </c:dLbls>
        <c:marker val="1"/>
        <c:smooth val="0"/>
        <c:axId val="1623294768"/>
        <c:axId val="1335839632"/>
      </c:lineChart>
      <c:catAx>
        <c:axId val="1623294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839632"/>
        <c:crosses val="autoZero"/>
        <c:auto val="1"/>
        <c:lblAlgn val="ctr"/>
        <c:lblOffset val="100"/>
        <c:noMultiLvlLbl val="0"/>
      </c:catAx>
      <c:valAx>
        <c:axId val="13358396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32947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'JPM SA (Graph)'!$E$40</c:f>
              <c:strCache>
                <c:ptCount val="1"/>
                <c:pt idx="0">
                  <c:v>EPS (Diluted)</c:v>
                </c:pt>
              </c:strCache>
            </c:strRef>
          </c:tx>
          <c:spPr>
            <a:ln w="76200">
              <a:solidFill>
                <a:schemeClr val="accent1"/>
              </a:solidFill>
            </a:ln>
          </c:spPr>
          <c:marker>
            <c:spPr>
              <a:solidFill>
                <a:srgbClr val="0070C0"/>
              </a:solidFill>
              <a:ln w="76200">
                <a:noFill/>
              </a:ln>
            </c:spPr>
          </c:marker>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f>'JPM SA (Graph)'!$F$5:$P$6</c:f>
              <c:multiLvlStrCache>
                <c:ptCount val="11"/>
                <c:lvl>
                  <c:pt idx="0">
                    <c:v>Dec '25 Dec 31, 2025</c:v>
                  </c:pt>
                  <c:pt idx="1">
                    <c:v>Sep '25 Sep 30, 2025</c:v>
                  </c:pt>
                  <c:pt idx="2">
                    <c:v>Jun '25 Jun 30, 2025</c:v>
                  </c:pt>
                  <c:pt idx="3">
                    <c:v>Mar '25 Mar 31, 2025</c:v>
                  </c:pt>
                  <c:pt idx="4">
                    <c:v>Dec '24 Dec 31, 2024</c:v>
                  </c:pt>
                  <c:pt idx="5">
                    <c:v>Sep '24 Sep 30, 2024</c:v>
                  </c:pt>
                  <c:pt idx="6">
                    <c:v>Jun '24 Jun 30, 2024</c:v>
                  </c:pt>
                  <c:pt idx="7">
                    <c:v>Mar '24 Mar 31, 2024</c:v>
                  </c:pt>
                  <c:pt idx="8">
                    <c:v>Dec '23 Dec 31, 2023</c:v>
                  </c:pt>
                  <c:pt idx="9">
                    <c:v>Sep '23 Sep 30, 2023</c:v>
                  </c:pt>
                  <c:pt idx="10">
                    <c:v>Jun '23 Jun 30, 2023</c:v>
                  </c:pt>
                </c:lvl>
                <c:lvl>
                  <c:pt idx="0">
                    <c:v>Q4 2025</c:v>
                  </c:pt>
                  <c:pt idx="1">
                    <c:v>Q3 2025</c:v>
                  </c:pt>
                  <c:pt idx="2">
                    <c:v>Q2 2025</c:v>
                  </c:pt>
                  <c:pt idx="3">
                    <c:v>Q1 2025</c:v>
                  </c:pt>
                  <c:pt idx="4">
                    <c:v>Q4 2024</c:v>
                  </c:pt>
                  <c:pt idx="5">
                    <c:v>Q3 2024</c:v>
                  </c:pt>
                  <c:pt idx="6">
                    <c:v>Q2 2024</c:v>
                  </c:pt>
                  <c:pt idx="7">
                    <c:v>Q1 2024</c:v>
                  </c:pt>
                  <c:pt idx="8">
                    <c:v>Q4 2023</c:v>
                  </c:pt>
                  <c:pt idx="9">
                    <c:v>Q3 2023</c:v>
                  </c:pt>
                  <c:pt idx="10">
                    <c:v>Q2 2023</c:v>
                  </c:pt>
                </c:lvl>
              </c:multiLvlStrCache>
            </c:multiLvlStrRef>
          </c:cat>
          <c:val>
            <c:numRef>
              <c:f>'JPM SA (Graph)'!$F$40:$P$40</c:f>
              <c:numCache>
                <c:formatCode>General</c:formatCode>
                <c:ptCount val="11"/>
                <c:pt idx="0">
                  <c:v>4.63</c:v>
                </c:pt>
                <c:pt idx="1">
                  <c:v>5.07</c:v>
                </c:pt>
                <c:pt idx="2">
                  <c:v>5.24</c:v>
                </c:pt>
                <c:pt idx="3">
                  <c:v>5.07</c:v>
                </c:pt>
                <c:pt idx="4">
                  <c:v>4.8099999999999996</c:v>
                </c:pt>
                <c:pt idx="5">
                  <c:v>4.37</c:v>
                </c:pt>
                <c:pt idx="6">
                  <c:v>6.12</c:v>
                </c:pt>
                <c:pt idx="7">
                  <c:v>4.4400000000000004</c:v>
                </c:pt>
                <c:pt idx="8">
                  <c:v>3.04</c:v>
                </c:pt>
                <c:pt idx="9">
                  <c:v>4.33</c:v>
                </c:pt>
                <c:pt idx="10">
                  <c:v>4.75</c:v>
                </c:pt>
              </c:numCache>
            </c:numRef>
          </c:val>
          <c:smooth val="0"/>
          <c:extLst>
            <c:ext xmlns:c16="http://schemas.microsoft.com/office/drawing/2014/chart" uri="{C3380CC4-5D6E-409C-BE32-E72D297353CC}">
              <c16:uniqueId val="{00000003-9CB7-4D53-A391-8971AB250A35}"/>
            </c:ext>
          </c:extLst>
        </c:ser>
        <c:dLbls>
          <c:showLegendKey val="0"/>
          <c:showVal val="0"/>
          <c:showCatName val="0"/>
          <c:showSerName val="0"/>
          <c:showPercent val="0"/>
          <c:showBubbleSize val="0"/>
        </c:dLbls>
        <c:marker val="1"/>
        <c:smooth val="0"/>
        <c:axId val="1623294768"/>
        <c:axId val="1335839632"/>
      </c:lineChart>
      <c:lineChart>
        <c:grouping val="standard"/>
        <c:varyColors val="0"/>
        <c:ser>
          <c:idx val="0"/>
          <c:order val="1"/>
          <c:tx>
            <c:strRef>
              <c:f>'JPM SA (Graph)'!$E$42</c:f>
              <c:strCache>
                <c:ptCount val="1"/>
                <c:pt idx="0">
                  <c:v>Dividend Per Share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'JPM SA (Graph)'!$F$5:$P$6</c:f>
              <c:multiLvlStrCache>
                <c:ptCount val="11"/>
                <c:lvl>
                  <c:pt idx="0">
                    <c:v>Dec '25 Dec 31, 2025</c:v>
                  </c:pt>
                  <c:pt idx="1">
                    <c:v>Sep '25 Sep 30, 2025</c:v>
                  </c:pt>
                  <c:pt idx="2">
                    <c:v>Jun '25 Jun 30, 2025</c:v>
                  </c:pt>
                  <c:pt idx="3">
                    <c:v>Mar '25 Mar 31, 2025</c:v>
                  </c:pt>
                  <c:pt idx="4">
                    <c:v>Dec '24 Dec 31, 2024</c:v>
                  </c:pt>
                  <c:pt idx="5">
                    <c:v>Sep '24 Sep 30, 2024</c:v>
                  </c:pt>
                  <c:pt idx="6">
                    <c:v>Jun '24 Jun 30, 2024</c:v>
                  </c:pt>
                  <c:pt idx="7">
                    <c:v>Mar '24 Mar 31, 2024</c:v>
                  </c:pt>
                  <c:pt idx="8">
                    <c:v>Dec '23 Dec 31, 2023</c:v>
                  </c:pt>
                  <c:pt idx="9">
                    <c:v>Sep '23 Sep 30, 2023</c:v>
                  </c:pt>
                  <c:pt idx="10">
                    <c:v>Jun '23 Jun 30, 2023</c:v>
                  </c:pt>
                </c:lvl>
                <c:lvl>
                  <c:pt idx="0">
                    <c:v>Q4 2025</c:v>
                  </c:pt>
                  <c:pt idx="1">
                    <c:v>Q3 2025</c:v>
                  </c:pt>
                  <c:pt idx="2">
                    <c:v>Q2 2025</c:v>
                  </c:pt>
                  <c:pt idx="3">
                    <c:v>Q1 2025</c:v>
                  </c:pt>
                  <c:pt idx="4">
                    <c:v>Q4 2024</c:v>
                  </c:pt>
                  <c:pt idx="5">
                    <c:v>Q3 2024</c:v>
                  </c:pt>
                  <c:pt idx="6">
                    <c:v>Q2 2024</c:v>
                  </c:pt>
                  <c:pt idx="7">
                    <c:v>Q1 2024</c:v>
                  </c:pt>
                  <c:pt idx="8">
                    <c:v>Q4 2023</c:v>
                  </c:pt>
                  <c:pt idx="9">
                    <c:v>Q3 2023</c:v>
                  </c:pt>
                  <c:pt idx="10">
                    <c:v>Q2 2023</c:v>
                  </c:pt>
                </c:lvl>
              </c:multiLvlStrCache>
            </c:multiLvlStrRef>
          </c:cat>
          <c:val>
            <c:numRef>
              <c:f>'JPM SA (Graph)'!$F$42:$P$42</c:f>
              <c:numCache>
                <c:formatCode>General</c:formatCode>
                <c:ptCount val="11"/>
                <c:pt idx="0">
                  <c:v>1.5</c:v>
                </c:pt>
                <c:pt idx="1">
                  <c:v>1.5</c:v>
                </c:pt>
                <c:pt idx="2">
                  <c:v>1.4</c:v>
                </c:pt>
                <c:pt idx="3">
                  <c:v>1.4</c:v>
                </c:pt>
                <c:pt idx="4">
                  <c:v>1.25</c:v>
                </c:pt>
                <c:pt idx="5">
                  <c:v>1.25</c:v>
                </c:pt>
                <c:pt idx="6">
                  <c:v>1.1499999999999999</c:v>
                </c:pt>
                <c:pt idx="7">
                  <c:v>1.1499999999999999</c:v>
                </c:pt>
                <c:pt idx="8">
                  <c:v>1.05</c:v>
                </c:pt>
                <c:pt idx="9">
                  <c:v>1.05</c:v>
                </c:pt>
                <c:pt idx="10">
                  <c:v>1</c:v>
                </c:pt>
              </c:numCache>
            </c:numRef>
          </c:val>
          <c:smooth val="0"/>
          <c:extLst>
            <c:ext xmlns:c16="http://schemas.microsoft.com/office/drawing/2014/chart" uri="{C3380CC4-5D6E-409C-BE32-E72D297353CC}">
              <c16:uniqueId val="{00000002-9CB7-4D53-A391-8971AB250A35}"/>
            </c:ext>
          </c:extLst>
        </c:ser>
        <c:dLbls>
          <c:showLegendKey val="0"/>
          <c:showVal val="0"/>
          <c:showCatName val="0"/>
          <c:showSerName val="0"/>
          <c:showPercent val="0"/>
          <c:showBubbleSize val="0"/>
        </c:dLbls>
        <c:marker val="1"/>
        <c:smooth val="0"/>
        <c:axId val="236792575"/>
        <c:axId val="236794495"/>
      </c:lineChart>
      <c:catAx>
        <c:axId val="1623294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839632"/>
        <c:crosses val="autoZero"/>
        <c:auto val="1"/>
        <c:lblAlgn val="ctr"/>
        <c:lblOffset val="100"/>
        <c:noMultiLvlLbl val="0"/>
      </c:catAx>
      <c:valAx>
        <c:axId val="1335839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3294768"/>
        <c:crosses val="autoZero"/>
        <c:crossBetween val="between"/>
      </c:valAx>
      <c:valAx>
        <c:axId val="236794495"/>
        <c:scaling>
          <c:orientation val="minMax"/>
        </c:scaling>
        <c:delete val="0"/>
        <c:axPos val="r"/>
        <c:numFmt formatCode="General" sourceLinked="1"/>
        <c:majorTickMark val="out"/>
        <c:minorTickMark val="none"/>
        <c:tickLblPos val="nextTo"/>
        <c:crossAx val="236792575"/>
        <c:crosses val="max"/>
        <c:crossBetween val="between"/>
      </c:valAx>
      <c:catAx>
        <c:axId val="236792575"/>
        <c:scaling>
          <c:orientation val="minMax"/>
        </c:scaling>
        <c:delete val="1"/>
        <c:axPos val="b"/>
        <c:numFmt formatCode="General" sourceLinked="1"/>
        <c:majorTickMark val="out"/>
        <c:minorTickMark val="none"/>
        <c:tickLblPos val="nextTo"/>
        <c:crossAx val="236794495"/>
        <c:crosses val="autoZero"/>
        <c:auto val="1"/>
        <c:lblAlgn val="ctr"/>
        <c:lblOffset val="100"/>
        <c:noMultiLvlLbl val="0"/>
      </c:cat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8</xdr:col>
      <xdr:colOff>493395</xdr:colOff>
      <xdr:row>4</xdr:row>
      <xdr:rowOff>82867</xdr:rowOff>
    </xdr:from>
    <xdr:to>
      <xdr:col>14</xdr:col>
      <xdr:colOff>649605</xdr:colOff>
      <xdr:row>19</xdr:row>
      <xdr:rowOff>107632</xdr:rowOff>
    </xdr:to>
    <xdr:graphicFrame macro="">
      <xdr:nvGraphicFramePr>
        <xdr:cNvPr id="2" name="Chart 1">
          <a:extLst>
            <a:ext uri="{FF2B5EF4-FFF2-40B4-BE49-F238E27FC236}">
              <a16:creationId xmlns:a16="http://schemas.microsoft.com/office/drawing/2014/main" id="{83688A54-775D-06C0-ED51-78B5AE8084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72805</xdr:colOff>
      <xdr:row>4</xdr:row>
      <xdr:rowOff>86304</xdr:rowOff>
    </xdr:from>
    <xdr:to>
      <xdr:col>15</xdr:col>
      <xdr:colOff>222885</xdr:colOff>
      <xdr:row>20</xdr:row>
      <xdr:rowOff>146684</xdr:rowOff>
    </xdr:to>
    <xdr:graphicFrame macro="">
      <xdr:nvGraphicFramePr>
        <xdr:cNvPr id="3" name="Chart 2">
          <a:extLst>
            <a:ext uri="{FF2B5EF4-FFF2-40B4-BE49-F238E27FC236}">
              <a16:creationId xmlns:a16="http://schemas.microsoft.com/office/drawing/2014/main" id="{7EC39D35-3C30-40D4-9D66-39D327FDEC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407127</xdr:colOff>
      <xdr:row>1</xdr:row>
      <xdr:rowOff>165612</xdr:rowOff>
    </xdr:from>
    <xdr:to>
      <xdr:col>3</xdr:col>
      <xdr:colOff>423318</xdr:colOff>
      <xdr:row>21</xdr:row>
      <xdr:rowOff>175397</xdr:rowOff>
    </xdr:to>
    <xdr:graphicFrame macro="">
      <xdr:nvGraphicFramePr>
        <xdr:cNvPr id="9" name="Chart 8">
          <a:extLst>
            <a:ext uri="{FF2B5EF4-FFF2-40B4-BE49-F238E27FC236}">
              <a16:creationId xmlns:a16="http://schemas.microsoft.com/office/drawing/2014/main" id="{6E7B5125-F1C2-4452-9478-1DE128794A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326571</xdr:colOff>
      <xdr:row>24</xdr:row>
      <xdr:rowOff>21499</xdr:rowOff>
    </xdr:from>
    <xdr:to>
      <xdr:col>3</xdr:col>
      <xdr:colOff>911678</xdr:colOff>
      <xdr:row>44</xdr:row>
      <xdr:rowOff>17949</xdr:rowOff>
    </xdr:to>
    <xdr:graphicFrame macro="">
      <xdr:nvGraphicFramePr>
        <xdr:cNvPr id="11" name="Chart 10">
          <a:extLst>
            <a:ext uri="{FF2B5EF4-FFF2-40B4-BE49-F238E27FC236}">
              <a16:creationId xmlns:a16="http://schemas.microsoft.com/office/drawing/2014/main" id="{00C97D3D-C89E-44F8-BDAF-9EC72FB731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421821</xdr:colOff>
      <xdr:row>45</xdr:row>
      <xdr:rowOff>96882</xdr:rowOff>
    </xdr:from>
    <xdr:to>
      <xdr:col>3</xdr:col>
      <xdr:colOff>421823</xdr:colOff>
      <xdr:row>65</xdr:row>
      <xdr:rowOff>93332</xdr:rowOff>
    </xdr:to>
    <xdr:graphicFrame macro="">
      <xdr:nvGraphicFramePr>
        <xdr:cNvPr id="12" name="Chart 11">
          <a:extLst>
            <a:ext uri="{FF2B5EF4-FFF2-40B4-BE49-F238E27FC236}">
              <a16:creationId xmlns:a16="http://schemas.microsoft.com/office/drawing/2014/main" id="{E8EF1D53-4047-4BFA-BAEA-C78CA40E52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596810</xdr:colOff>
      <xdr:row>66</xdr:row>
      <xdr:rowOff>66130</xdr:rowOff>
    </xdr:from>
    <xdr:to>
      <xdr:col>3</xdr:col>
      <xdr:colOff>605381</xdr:colOff>
      <xdr:row>86</xdr:row>
      <xdr:rowOff>68295</xdr:rowOff>
    </xdr:to>
    <xdr:graphicFrame macro="">
      <xdr:nvGraphicFramePr>
        <xdr:cNvPr id="14" name="Chart 13">
          <a:extLst>
            <a:ext uri="{FF2B5EF4-FFF2-40B4-BE49-F238E27FC236}">
              <a16:creationId xmlns:a16="http://schemas.microsoft.com/office/drawing/2014/main" id="{501B4C25-C47F-47D2-82F4-17038E0569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1158783</xdr:colOff>
      <xdr:row>1</xdr:row>
      <xdr:rowOff>122465</xdr:rowOff>
    </xdr:from>
    <xdr:to>
      <xdr:col>2</xdr:col>
      <xdr:colOff>1104082</xdr:colOff>
      <xdr:row>20</xdr:row>
      <xdr:rowOff>20140</xdr:rowOff>
    </xdr:to>
    <xdr:sp macro="" textlink="">
      <xdr:nvSpPr>
        <xdr:cNvPr id="16" name="Rectangle 15">
          <a:extLst>
            <a:ext uri="{FF2B5EF4-FFF2-40B4-BE49-F238E27FC236}">
              <a16:creationId xmlns:a16="http://schemas.microsoft.com/office/drawing/2014/main" id="{759AFACF-0C06-4274-5EEE-97D225D653F3}"/>
            </a:ext>
          </a:extLst>
        </xdr:cNvPr>
        <xdr:cNvSpPr/>
      </xdr:nvSpPr>
      <xdr:spPr>
        <a:xfrm>
          <a:off x="3553640" y="299358"/>
          <a:ext cx="1156335" cy="3258639"/>
        </a:xfrm>
        <a:prstGeom prst="rect">
          <a:avLst/>
        </a:prstGeom>
        <a:solidFill>
          <a:srgbClr val="FF0000">
            <a:alpha val="12000"/>
          </a:srgb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2366008</xdr:colOff>
      <xdr:row>1</xdr:row>
      <xdr:rowOff>137977</xdr:rowOff>
    </xdr:from>
    <xdr:to>
      <xdr:col>1</xdr:col>
      <xdr:colOff>1138916</xdr:colOff>
      <xdr:row>20</xdr:row>
      <xdr:rowOff>31842</xdr:rowOff>
    </xdr:to>
    <xdr:sp macro="" textlink="">
      <xdr:nvSpPr>
        <xdr:cNvPr id="17" name="Rectangle 16">
          <a:extLst>
            <a:ext uri="{FF2B5EF4-FFF2-40B4-BE49-F238E27FC236}">
              <a16:creationId xmlns:a16="http://schemas.microsoft.com/office/drawing/2014/main" id="{361A3F25-6ED1-4DF6-962A-AE0940152D45}"/>
            </a:ext>
          </a:extLst>
        </xdr:cNvPr>
        <xdr:cNvSpPr/>
      </xdr:nvSpPr>
      <xdr:spPr>
        <a:xfrm>
          <a:off x="2366008" y="314870"/>
          <a:ext cx="1167765" cy="3254829"/>
        </a:xfrm>
        <a:prstGeom prst="rect">
          <a:avLst/>
        </a:prstGeom>
        <a:solidFill>
          <a:srgbClr val="00B050">
            <a:alpha val="12000"/>
          </a:srgb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1683474</xdr:colOff>
      <xdr:row>1</xdr:row>
      <xdr:rowOff>102870</xdr:rowOff>
    </xdr:from>
    <xdr:to>
      <xdr:col>0</xdr:col>
      <xdr:colOff>2085427</xdr:colOff>
      <xdr:row>19</xdr:row>
      <xdr:rowOff>169818</xdr:rowOff>
    </xdr:to>
    <xdr:sp macro="" textlink="">
      <xdr:nvSpPr>
        <xdr:cNvPr id="18" name="Rectangle 17">
          <a:extLst>
            <a:ext uri="{FF2B5EF4-FFF2-40B4-BE49-F238E27FC236}">
              <a16:creationId xmlns:a16="http://schemas.microsoft.com/office/drawing/2014/main" id="{05782F5A-FD80-4B27-8E42-F21548CE09D2}"/>
            </a:ext>
          </a:extLst>
        </xdr:cNvPr>
        <xdr:cNvSpPr/>
      </xdr:nvSpPr>
      <xdr:spPr>
        <a:xfrm>
          <a:off x="1683474" y="279763"/>
          <a:ext cx="401953" cy="3251019"/>
        </a:xfrm>
        <a:prstGeom prst="rect">
          <a:avLst/>
        </a:prstGeom>
        <a:solidFill>
          <a:srgbClr val="00B050">
            <a:alpha val="12000"/>
          </a:srgb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1261653</xdr:colOff>
      <xdr:row>1</xdr:row>
      <xdr:rowOff>122465</xdr:rowOff>
    </xdr:from>
    <xdr:to>
      <xdr:col>0</xdr:col>
      <xdr:colOff>1681297</xdr:colOff>
      <xdr:row>20</xdr:row>
      <xdr:rowOff>27760</xdr:rowOff>
    </xdr:to>
    <xdr:sp macro="" textlink="">
      <xdr:nvSpPr>
        <xdr:cNvPr id="19" name="Rectangle 18">
          <a:extLst>
            <a:ext uri="{FF2B5EF4-FFF2-40B4-BE49-F238E27FC236}">
              <a16:creationId xmlns:a16="http://schemas.microsoft.com/office/drawing/2014/main" id="{B0E182B8-0EEE-4DC0-A276-C143116C9057}"/>
            </a:ext>
          </a:extLst>
        </xdr:cNvPr>
        <xdr:cNvSpPr/>
      </xdr:nvSpPr>
      <xdr:spPr>
        <a:xfrm>
          <a:off x="1261653" y="299358"/>
          <a:ext cx="419644" cy="3266259"/>
        </a:xfrm>
        <a:prstGeom prst="rect">
          <a:avLst/>
        </a:prstGeom>
        <a:solidFill>
          <a:srgbClr val="FF0000">
            <a:alpha val="12000"/>
          </a:srgb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1147081</xdr:colOff>
      <xdr:row>23</xdr:row>
      <xdr:rowOff>149679</xdr:rowOff>
    </xdr:from>
    <xdr:to>
      <xdr:col>2</xdr:col>
      <xdr:colOff>1101905</xdr:colOff>
      <xdr:row>42</xdr:row>
      <xdr:rowOff>56879</xdr:rowOff>
    </xdr:to>
    <xdr:sp macro="" textlink="">
      <xdr:nvSpPr>
        <xdr:cNvPr id="20" name="Rectangle 19">
          <a:extLst>
            <a:ext uri="{FF2B5EF4-FFF2-40B4-BE49-F238E27FC236}">
              <a16:creationId xmlns:a16="http://schemas.microsoft.com/office/drawing/2014/main" id="{534BC1C8-76D8-4570-9648-29AC018361DE}"/>
            </a:ext>
          </a:extLst>
        </xdr:cNvPr>
        <xdr:cNvSpPr/>
      </xdr:nvSpPr>
      <xdr:spPr>
        <a:xfrm>
          <a:off x="3541938" y="4218215"/>
          <a:ext cx="1165860" cy="3268164"/>
        </a:xfrm>
        <a:prstGeom prst="rect">
          <a:avLst/>
        </a:prstGeom>
        <a:solidFill>
          <a:srgbClr val="FF0000">
            <a:alpha val="12000"/>
          </a:srgb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2356211</xdr:colOff>
      <xdr:row>23</xdr:row>
      <xdr:rowOff>170906</xdr:rowOff>
    </xdr:from>
    <xdr:to>
      <xdr:col>1</xdr:col>
      <xdr:colOff>1136739</xdr:colOff>
      <xdr:row>42</xdr:row>
      <xdr:rowOff>64771</xdr:rowOff>
    </xdr:to>
    <xdr:sp macro="" textlink="">
      <xdr:nvSpPr>
        <xdr:cNvPr id="21" name="Rectangle 20">
          <a:extLst>
            <a:ext uri="{FF2B5EF4-FFF2-40B4-BE49-F238E27FC236}">
              <a16:creationId xmlns:a16="http://schemas.microsoft.com/office/drawing/2014/main" id="{766965E8-3645-4A0D-867F-DAEB894C4F5F}"/>
            </a:ext>
          </a:extLst>
        </xdr:cNvPr>
        <xdr:cNvSpPr/>
      </xdr:nvSpPr>
      <xdr:spPr>
        <a:xfrm>
          <a:off x="2356211" y="4239442"/>
          <a:ext cx="1175385" cy="3254829"/>
        </a:xfrm>
        <a:prstGeom prst="rect">
          <a:avLst/>
        </a:prstGeom>
        <a:solidFill>
          <a:srgbClr val="00B050">
            <a:alpha val="12000"/>
          </a:srgb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1673677</xdr:colOff>
      <xdr:row>23</xdr:row>
      <xdr:rowOff>131989</xdr:rowOff>
    </xdr:from>
    <xdr:to>
      <xdr:col>0</xdr:col>
      <xdr:colOff>2075630</xdr:colOff>
      <xdr:row>42</xdr:row>
      <xdr:rowOff>20139</xdr:rowOff>
    </xdr:to>
    <xdr:sp macro="" textlink="">
      <xdr:nvSpPr>
        <xdr:cNvPr id="22" name="Rectangle 21">
          <a:extLst>
            <a:ext uri="{FF2B5EF4-FFF2-40B4-BE49-F238E27FC236}">
              <a16:creationId xmlns:a16="http://schemas.microsoft.com/office/drawing/2014/main" id="{10556A69-4A7A-4164-AD86-2551C90B3E1C}"/>
            </a:ext>
          </a:extLst>
        </xdr:cNvPr>
        <xdr:cNvSpPr/>
      </xdr:nvSpPr>
      <xdr:spPr>
        <a:xfrm>
          <a:off x="1673677" y="4200525"/>
          <a:ext cx="401953" cy="3249114"/>
        </a:xfrm>
        <a:prstGeom prst="rect">
          <a:avLst/>
        </a:prstGeom>
        <a:solidFill>
          <a:srgbClr val="00B050">
            <a:alpha val="12000"/>
          </a:srgb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1251856</xdr:colOff>
      <xdr:row>23</xdr:row>
      <xdr:rowOff>149679</xdr:rowOff>
    </xdr:from>
    <xdr:to>
      <xdr:col>0</xdr:col>
      <xdr:colOff>1671500</xdr:colOff>
      <xdr:row>42</xdr:row>
      <xdr:rowOff>56879</xdr:rowOff>
    </xdr:to>
    <xdr:sp macro="" textlink="">
      <xdr:nvSpPr>
        <xdr:cNvPr id="23" name="Rectangle 22">
          <a:extLst>
            <a:ext uri="{FF2B5EF4-FFF2-40B4-BE49-F238E27FC236}">
              <a16:creationId xmlns:a16="http://schemas.microsoft.com/office/drawing/2014/main" id="{E19D1220-53E1-4B81-ABA9-6D6A1D70A2ED}"/>
            </a:ext>
          </a:extLst>
        </xdr:cNvPr>
        <xdr:cNvSpPr/>
      </xdr:nvSpPr>
      <xdr:spPr>
        <a:xfrm>
          <a:off x="1251856" y="4218215"/>
          <a:ext cx="419644" cy="3268164"/>
        </a:xfrm>
        <a:prstGeom prst="rect">
          <a:avLst/>
        </a:prstGeom>
        <a:solidFill>
          <a:srgbClr val="FF0000">
            <a:alpha val="12000"/>
          </a:srgb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1145176</xdr:colOff>
      <xdr:row>45</xdr:row>
      <xdr:rowOff>68309</xdr:rowOff>
    </xdr:from>
    <xdr:to>
      <xdr:col>2</xdr:col>
      <xdr:colOff>1103810</xdr:colOff>
      <xdr:row>63</xdr:row>
      <xdr:rowOff>169547</xdr:rowOff>
    </xdr:to>
    <xdr:sp macro="" textlink="">
      <xdr:nvSpPr>
        <xdr:cNvPr id="24" name="Rectangle 23">
          <a:extLst>
            <a:ext uri="{FF2B5EF4-FFF2-40B4-BE49-F238E27FC236}">
              <a16:creationId xmlns:a16="http://schemas.microsoft.com/office/drawing/2014/main" id="{19FA1778-7AAB-4F4B-B4B8-CED1764B7DEE}"/>
            </a:ext>
          </a:extLst>
        </xdr:cNvPr>
        <xdr:cNvSpPr/>
      </xdr:nvSpPr>
      <xdr:spPr>
        <a:xfrm>
          <a:off x="3540033" y="8028488"/>
          <a:ext cx="1169670" cy="3285309"/>
        </a:xfrm>
        <a:prstGeom prst="rect">
          <a:avLst/>
        </a:prstGeom>
        <a:solidFill>
          <a:srgbClr val="FF0000">
            <a:alpha val="12000"/>
          </a:srgb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2361926</xdr:colOff>
      <xdr:row>45</xdr:row>
      <xdr:rowOff>95251</xdr:rowOff>
    </xdr:from>
    <xdr:to>
      <xdr:col>1</xdr:col>
      <xdr:colOff>1142454</xdr:colOff>
      <xdr:row>63</xdr:row>
      <xdr:rowOff>167914</xdr:rowOff>
    </xdr:to>
    <xdr:sp macro="" textlink="">
      <xdr:nvSpPr>
        <xdr:cNvPr id="25" name="Rectangle 24">
          <a:extLst>
            <a:ext uri="{FF2B5EF4-FFF2-40B4-BE49-F238E27FC236}">
              <a16:creationId xmlns:a16="http://schemas.microsoft.com/office/drawing/2014/main" id="{FC18A778-0580-45BC-8E88-38C43FB7EF05}"/>
            </a:ext>
          </a:extLst>
        </xdr:cNvPr>
        <xdr:cNvSpPr/>
      </xdr:nvSpPr>
      <xdr:spPr>
        <a:xfrm>
          <a:off x="2361926" y="8055430"/>
          <a:ext cx="1175385" cy="3256734"/>
        </a:xfrm>
        <a:prstGeom prst="rect">
          <a:avLst/>
        </a:prstGeom>
        <a:solidFill>
          <a:srgbClr val="00B050">
            <a:alpha val="12000"/>
          </a:srgb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1669867</xdr:colOff>
      <xdr:row>45</xdr:row>
      <xdr:rowOff>65859</xdr:rowOff>
    </xdr:from>
    <xdr:to>
      <xdr:col>0</xdr:col>
      <xdr:colOff>2068010</xdr:colOff>
      <xdr:row>63</xdr:row>
      <xdr:rowOff>134712</xdr:rowOff>
    </xdr:to>
    <xdr:sp macro="" textlink="">
      <xdr:nvSpPr>
        <xdr:cNvPr id="26" name="Rectangle 25">
          <a:extLst>
            <a:ext uri="{FF2B5EF4-FFF2-40B4-BE49-F238E27FC236}">
              <a16:creationId xmlns:a16="http://schemas.microsoft.com/office/drawing/2014/main" id="{0FC8C5FC-88B8-488F-AEB2-EC19D064D364}"/>
            </a:ext>
          </a:extLst>
        </xdr:cNvPr>
        <xdr:cNvSpPr/>
      </xdr:nvSpPr>
      <xdr:spPr>
        <a:xfrm>
          <a:off x="1669867" y="8026038"/>
          <a:ext cx="398143" cy="3252924"/>
        </a:xfrm>
        <a:prstGeom prst="rect">
          <a:avLst/>
        </a:prstGeom>
        <a:solidFill>
          <a:srgbClr val="00B050">
            <a:alpha val="12000"/>
          </a:srgb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1257571</xdr:colOff>
      <xdr:row>45</xdr:row>
      <xdr:rowOff>74024</xdr:rowOff>
    </xdr:from>
    <xdr:to>
      <xdr:col>0</xdr:col>
      <xdr:colOff>1677215</xdr:colOff>
      <xdr:row>63</xdr:row>
      <xdr:rowOff>173357</xdr:rowOff>
    </xdr:to>
    <xdr:sp macro="" textlink="">
      <xdr:nvSpPr>
        <xdr:cNvPr id="27" name="Rectangle 26">
          <a:extLst>
            <a:ext uri="{FF2B5EF4-FFF2-40B4-BE49-F238E27FC236}">
              <a16:creationId xmlns:a16="http://schemas.microsoft.com/office/drawing/2014/main" id="{D3721D54-E936-485F-BAA8-A5D33412778C}"/>
            </a:ext>
          </a:extLst>
        </xdr:cNvPr>
        <xdr:cNvSpPr/>
      </xdr:nvSpPr>
      <xdr:spPr>
        <a:xfrm>
          <a:off x="1257571" y="8034203"/>
          <a:ext cx="419644" cy="3283404"/>
        </a:xfrm>
        <a:prstGeom prst="rect">
          <a:avLst/>
        </a:prstGeom>
        <a:solidFill>
          <a:srgbClr val="FF0000">
            <a:alpha val="12000"/>
          </a:srgb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1129663</xdr:colOff>
      <xdr:row>66</xdr:row>
      <xdr:rowOff>17963</xdr:rowOff>
    </xdr:from>
    <xdr:to>
      <xdr:col>2</xdr:col>
      <xdr:colOff>1086392</xdr:colOff>
      <xdr:row>84</xdr:row>
      <xdr:rowOff>113486</xdr:rowOff>
    </xdr:to>
    <xdr:sp macro="" textlink="">
      <xdr:nvSpPr>
        <xdr:cNvPr id="28" name="Rectangle 27">
          <a:extLst>
            <a:ext uri="{FF2B5EF4-FFF2-40B4-BE49-F238E27FC236}">
              <a16:creationId xmlns:a16="http://schemas.microsoft.com/office/drawing/2014/main" id="{CED375C3-3EDE-4F9F-870B-8956702B199F}"/>
            </a:ext>
          </a:extLst>
        </xdr:cNvPr>
        <xdr:cNvSpPr/>
      </xdr:nvSpPr>
      <xdr:spPr>
        <a:xfrm>
          <a:off x="3524520" y="11692892"/>
          <a:ext cx="1167765" cy="3279594"/>
        </a:xfrm>
        <a:prstGeom prst="rect">
          <a:avLst/>
        </a:prstGeom>
        <a:solidFill>
          <a:srgbClr val="FF0000">
            <a:alpha val="12000"/>
          </a:srgb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2342603</xdr:colOff>
      <xdr:row>66</xdr:row>
      <xdr:rowOff>44905</xdr:rowOff>
    </xdr:from>
    <xdr:to>
      <xdr:col>1</xdr:col>
      <xdr:colOff>1125036</xdr:colOff>
      <xdr:row>84</xdr:row>
      <xdr:rowOff>106138</xdr:rowOff>
    </xdr:to>
    <xdr:sp macro="" textlink="">
      <xdr:nvSpPr>
        <xdr:cNvPr id="29" name="Rectangle 28">
          <a:extLst>
            <a:ext uri="{FF2B5EF4-FFF2-40B4-BE49-F238E27FC236}">
              <a16:creationId xmlns:a16="http://schemas.microsoft.com/office/drawing/2014/main" id="{504B9217-1C5E-4A33-90D7-87DFFA165350}"/>
            </a:ext>
          </a:extLst>
        </xdr:cNvPr>
        <xdr:cNvSpPr/>
      </xdr:nvSpPr>
      <xdr:spPr>
        <a:xfrm>
          <a:off x="2342603" y="11719834"/>
          <a:ext cx="1177290" cy="3245304"/>
        </a:xfrm>
        <a:prstGeom prst="rect">
          <a:avLst/>
        </a:prstGeom>
        <a:solidFill>
          <a:srgbClr val="00B050">
            <a:alpha val="12000"/>
          </a:srgb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1652449</xdr:colOff>
      <xdr:row>66</xdr:row>
      <xdr:rowOff>11703</xdr:rowOff>
    </xdr:from>
    <xdr:to>
      <xdr:col>0</xdr:col>
      <xdr:colOff>2058212</xdr:colOff>
      <xdr:row>84</xdr:row>
      <xdr:rowOff>67221</xdr:rowOff>
    </xdr:to>
    <xdr:sp macro="" textlink="">
      <xdr:nvSpPr>
        <xdr:cNvPr id="30" name="Rectangle 29">
          <a:extLst>
            <a:ext uri="{FF2B5EF4-FFF2-40B4-BE49-F238E27FC236}">
              <a16:creationId xmlns:a16="http://schemas.microsoft.com/office/drawing/2014/main" id="{A8140431-64CA-471E-B348-937C8BF293E7}"/>
            </a:ext>
          </a:extLst>
        </xdr:cNvPr>
        <xdr:cNvSpPr/>
      </xdr:nvSpPr>
      <xdr:spPr>
        <a:xfrm>
          <a:off x="1652449" y="11686632"/>
          <a:ext cx="405763" cy="3239589"/>
        </a:xfrm>
        <a:prstGeom prst="rect">
          <a:avLst/>
        </a:prstGeom>
        <a:solidFill>
          <a:srgbClr val="00B050">
            <a:alpha val="12000"/>
          </a:srgb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1245868</xdr:colOff>
      <xdr:row>66</xdr:row>
      <xdr:rowOff>17963</xdr:rowOff>
    </xdr:from>
    <xdr:to>
      <xdr:col>0</xdr:col>
      <xdr:colOff>1665512</xdr:colOff>
      <xdr:row>84</xdr:row>
      <xdr:rowOff>113486</xdr:rowOff>
    </xdr:to>
    <xdr:sp macro="" textlink="">
      <xdr:nvSpPr>
        <xdr:cNvPr id="31" name="Rectangle 30">
          <a:extLst>
            <a:ext uri="{FF2B5EF4-FFF2-40B4-BE49-F238E27FC236}">
              <a16:creationId xmlns:a16="http://schemas.microsoft.com/office/drawing/2014/main" id="{B933A074-83DC-4CB0-8194-B9132E33835B}"/>
            </a:ext>
          </a:extLst>
        </xdr:cNvPr>
        <xdr:cNvSpPr/>
      </xdr:nvSpPr>
      <xdr:spPr>
        <a:xfrm>
          <a:off x="1245868" y="11692892"/>
          <a:ext cx="419644" cy="3279594"/>
        </a:xfrm>
        <a:prstGeom prst="rect">
          <a:avLst/>
        </a:prstGeom>
        <a:solidFill>
          <a:srgbClr val="FF0000">
            <a:alpha val="12000"/>
          </a:srgb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0</xdr:colOff>
      <xdr:row>10</xdr:row>
      <xdr:rowOff>0</xdr:rowOff>
    </xdr:from>
    <xdr:to>
      <xdr:col>28</xdr:col>
      <xdr:colOff>274320</xdr:colOff>
      <xdr:row>91</xdr:row>
      <xdr:rowOff>21976</xdr:rowOff>
    </xdr:to>
    <xdr:pic>
      <xdr:nvPicPr>
        <xdr:cNvPr id="2" name="Picture 1">
          <a:extLst>
            <a:ext uri="{FF2B5EF4-FFF2-40B4-BE49-F238E27FC236}">
              <a16:creationId xmlns:a16="http://schemas.microsoft.com/office/drawing/2014/main" id="{30CAD278-9B52-6A3D-E951-9E8EC0E2E3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97100" y="2560320"/>
          <a:ext cx="13685520" cy="166420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B2D8C4AD-96BE-4F83-AE30-DABE636CB86A}" autoFormatId="16" applyNumberFormats="0" applyBorderFormats="0" applyFontFormats="0" applyPatternFormats="0" applyAlignmentFormats="0" applyWidthHeightFormats="0">
  <queryTableRefresh nextId="23">
    <queryTableFields count="22">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 id="18" name="Column18" tableColumnId="18"/>
      <queryTableField id="19" name="Column19" tableColumnId="19"/>
      <queryTableField id="20" name="Column20" tableColumnId="20"/>
      <queryTableField id="21" name="Column21" tableColumnId="21"/>
      <queryTableField id="22" name="Column22" tableColumnId="2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ED9E8853-2E19-457E-9AAF-7BE88FDB5BB9}" autoFormatId="16" applyNumberFormats="0" applyBorderFormats="0" applyFontFormats="0" applyPatternFormats="0" applyAlignmentFormats="0" applyWidthHeightFormats="0">
  <queryTableRefresh nextId="23">
    <queryTableFields count="22">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 id="18" name="Column18" tableColumnId="18"/>
      <queryTableField id="19" name="Column19" tableColumnId="19"/>
      <queryTableField id="20" name="Column20" tableColumnId="20"/>
      <queryTableField id="21" name="Column21" tableColumnId="21"/>
      <queryTableField id="22" name="Column22" tableColumnId="2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4" xr16:uid="{0D14D3F1-2D95-4C4E-8D93-B5B55F01C36B}" autoFormatId="16" applyNumberFormats="0" applyBorderFormats="0" applyFontFormats="0" applyPatternFormats="0" applyAlignmentFormats="0" applyWidthHeightFormats="0">
  <queryTableRefresh nextId="23">
    <queryTableFields count="22">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 id="18" name="Column18" tableColumnId="18"/>
      <queryTableField id="19" name="Column19" tableColumnId="19"/>
      <queryTableField id="20" name="Column20" tableColumnId="20"/>
      <queryTableField id="21" name="Column21" tableColumnId="21"/>
      <queryTableField id="22" name="Column22" tableColumnId="2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5" xr16:uid="{94C130B9-D991-427B-B8D8-99936671323B}" autoFormatId="16" applyNumberFormats="0" applyBorderFormats="0" applyFontFormats="0" applyPatternFormats="0" applyAlignmentFormats="0" applyWidthHeightFormats="0">
  <queryTableRefresh nextId="23">
    <queryTableFields count="22">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 id="18" name="Column18" tableColumnId="18"/>
      <queryTableField id="19" name="Column19" tableColumnId="19"/>
      <queryTableField id="20" name="Column20" tableColumnId="20"/>
      <queryTableField id="21" name="Column21" tableColumnId="21"/>
      <queryTableField id="22" name="Column22" tableColumnId="2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6" xr16:uid="{31402939-5205-4389-AAA6-241ECA52FCFC}" autoFormatId="16" applyNumberFormats="0" applyBorderFormats="0" applyFontFormats="0" applyPatternFormats="0" applyAlignmentFormats="0" applyWidthHeightFormats="0">
  <queryTableRefresh nextId="23">
    <queryTableFields count="22">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 id="18" name="Column18" tableColumnId="18"/>
      <queryTableField id="19" name="Column19" tableColumnId="19"/>
      <queryTableField id="20" name="Column20" tableColumnId="20"/>
      <queryTableField id="21" name="Column21" tableColumnId="21"/>
      <queryTableField id="22" name="Column22" tableColumnId="2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400-000000000000}" autoFormatId="16" applyNumberFormats="0" applyBorderFormats="0" applyFontFormats="0" applyPatternFormats="0" applyAlignmentFormats="0" applyWidthHeightFormats="0">
  <queryTableRefresh nextId="4">
    <queryTableFields count="3">
      <queryTableField id="1" name="US Dollar▲" tableColumnId="1"/>
      <queryTableField id="2" name="1.00 USD▲▼" tableColumnId="2"/>
      <queryTableField id="3" name="inv. 1.00 USD▲▼" tableColumnId="3"/>
    </queryTableFields>
  </queryTableRefresh>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array.xml><?xml version="1.0" encoding="utf-8"?>
<arrayData xmlns="http://schemas.microsoft.com/office/spreadsheetml/2017/richdata2" count="12">
  <a r="1" c="15">
    <v t="i">2</v>
    <v t="i">3</v>
    <v t="i">4</v>
    <v t="i">5</v>
    <v t="i">6</v>
    <v t="i">9</v>
    <v t="i">10</v>
    <v t="i">11</v>
    <v t="i">12</v>
    <v t="i">13</v>
    <v t="i">16</v>
    <v t="i">17</v>
    <v t="i">18</v>
    <v t="i">19</v>
    <v t="i">20</v>
  </a>
  <a r="1" c="15">
    <v>309.18</v>
    <v>307.69</v>
    <v>304.02999999999997</v>
    <v>305.52999999999997</v>
    <v>300.89</v>
    <v>307.97000000000003</v>
    <v>302.08</v>
    <v>305.69</v>
    <v>298.54000000000002</v>
    <v>297.56</v>
    <v>302.36</v>
    <v>297.08999999999997</v>
    <v>294.11</v>
    <v>294.54000000000002</v>
    <v>300.44</v>
  </a>
  <a r="1" c="15">
    <v>310.18</v>
    <v>309.35000000000002</v>
    <v>308.20999999999998</v>
    <v>305.05</v>
    <v>305.66000000000003</v>
    <v>305.60000000000002</v>
    <v>305.83999999999997</v>
    <v>306.39</v>
    <v>305.35000000000002</v>
    <v>299.16000000000003</v>
    <v>298.5</v>
    <v>301.66000000000003</v>
    <v>297.77</v>
    <v>294.38</v>
    <v>296.08</v>
  </a>
  <a r="1" c="15">
    <v>311.74740000000003</v>
    <v>310.01</v>
    <v>308.78320000000002</v>
    <v>308.03500000000003</v>
    <v>310.47000000000003</v>
    <v>309.45999999999998</v>
    <v>307</v>
    <v>312.11989999999997</v>
    <v>308.67989999999998</v>
    <v>299.55</v>
    <v>303.69</v>
    <v>304.05</v>
    <v>298.05990000000003</v>
    <v>296.36989999999997</v>
    <v>302.60000000000002</v>
  </a>
  <a r="1" c="15">
    <v>305.13010000000003</v>
    <v>304.7</v>
    <v>303.55</v>
    <v>303.3947</v>
    <v>300.81</v>
    <v>305.45</v>
    <v>294.20999999999998</v>
    <v>305.44</v>
    <v>297.07</v>
    <v>294.2</v>
    <v>298.1601</v>
    <v>297</v>
    <v>290.54480000000001</v>
    <v>292.51</v>
    <v>295.45</v>
  </a>
  <a r="1" c="15">
    <v>7214502</v>
    <v>8454217</v>
    <v>6489883</v>
    <v>7060332</v>
    <v>8597384</v>
    <v>10788680</v>
    <v>16178755</v>
    <v>11354778</v>
    <v>10549447</v>
    <v>10153454</v>
    <v>6894943</v>
    <v>7372671</v>
    <v>8054115</v>
    <v>5438810</v>
    <v>7228330</v>
  </a>
  <a r="1" c="14">
    <v t="i">2</v>
    <v t="i">3</v>
    <v t="i">4</v>
    <v t="i">5</v>
    <v t="i">9</v>
    <v t="i">10</v>
    <v t="i">11</v>
    <v t="i">12</v>
    <v t="i">13</v>
    <v t="i">16</v>
    <v t="i">17</v>
    <v t="i">18</v>
    <v t="i">19</v>
    <v t="i">20</v>
  </a>
  <a r="1" c="14">
    <v>219.39</v>
    <v>220.46</v>
    <v>219.92</v>
    <v>223.41</v>
    <v>223.47</v>
    <v>219.36</v>
    <v>222.54</v>
    <v>222.26</v>
    <v>225.02</v>
    <v>225.69</v>
    <v>226.35</v>
    <v>223.19</v>
    <v>223.88</v>
    <v>226.13</v>
  </a>
  <a r="1" c="14">
    <v>223.52</v>
    <v>219.5</v>
    <v>219.73</v>
    <v>221.82</v>
    <v>223</v>
    <v>223.91499999999999</v>
    <v>221.07</v>
    <v>221.55</v>
    <v>223.58</v>
    <v>225.07</v>
    <v>226.2</v>
    <v>225.875</v>
    <v>223.32</v>
    <v>225.14</v>
  </a>
  <a r="1" c="14">
    <v>223.82</v>
    <v>221.875</v>
    <v>221.6</v>
    <v>224.01</v>
    <v>224.29</v>
    <v>224</v>
    <v>224.29</v>
    <v>222.79</v>
    <v>226.6799</v>
    <v>226.66</v>
    <v>227.27</v>
    <v>226.1</v>
    <v>224.5</v>
    <v>226.4</v>
  </a>
  <a r="1" c="14">
    <v>219.12</v>
    <v>217.93</v>
    <v>219.06</v>
    <v>221.36</v>
    <v>222.37</v>
    <v>218.43</v>
    <v>220.47</v>
    <v>219.7</v>
    <v>222.37</v>
    <v>224.24</v>
    <v>225.45500000000001</v>
    <v>222.18</v>
    <v>222.51</v>
    <v>222.98</v>
  </a>
  <a r="1" c="14">
    <v>58887780</v>
    <v>39256830</v>
    <v>30894178</v>
    <v>29632353</v>
    <v>36604139</v>
    <v>45691987</v>
    <v>38155121</v>
    <v>30370591</v>
    <v>50518307</v>
    <v>35702597</v>
    <v>34907294</v>
    <v>39535926</v>
    <v>31855831</v>
    <v>37833807</v>
  </a>
</arrayData>
</file>

<file path=xl/richData/rdrichvalue.xml><?xml version="1.0" encoding="utf-8"?>
<rvData xmlns="http://schemas.microsoft.com/office/spreadsheetml/2017/richdata" count="209">
  <rv s="0">
    <fb>45936</fb>
    <v>0</v>
  </rv>
  <rv s="0">
    <fb>7214502</fb>
    <v>1</v>
  </rv>
  <rv s="0">
    <fb>310.18</fb>
    <v>2</v>
  </rv>
  <rv s="0">
    <fb>311.74740000000003</fb>
    <v>2</v>
  </rv>
  <rv s="0">
    <fb>305.13010000000003</fb>
    <v>2</v>
  </rv>
  <rv s="0">
    <fb>309.18</fb>
    <v>2</v>
  </rv>
  <rv s="0">
    <fb>45937</fb>
    <v>0</v>
  </rv>
  <rv s="0">
    <fb>8454217</fb>
    <v>1</v>
  </rv>
  <rv s="0">
    <fb>309.35000000000002</fb>
    <v>2</v>
  </rv>
  <rv s="0">
    <fb>310.01</fb>
    <v>2</v>
  </rv>
  <rv s="0">
    <fb>304.7</fb>
    <v>2</v>
  </rv>
  <rv s="0">
    <fb>307.69</fb>
    <v>2</v>
  </rv>
  <rv s="0">
    <fb>45938</fb>
    <v>0</v>
  </rv>
  <rv s="0">
    <fb>6489883</fb>
    <v>1</v>
  </rv>
  <rv s="0">
    <fb>308.20999999999998</fb>
    <v>2</v>
  </rv>
  <rv s="0">
    <fb>308.78320000000002</fb>
    <v>2</v>
  </rv>
  <rv s="0">
    <fb>303.55</fb>
    <v>2</v>
  </rv>
  <rv s="0">
    <fb>304.02999999999997</fb>
    <v>2</v>
  </rv>
  <rv s="0">
    <fb>45939</fb>
    <v>0</v>
  </rv>
  <rv s="0">
    <fb>7060332</fb>
    <v>1</v>
  </rv>
  <rv s="0">
    <fb>305.05</fb>
    <v>2</v>
  </rv>
  <rv s="0">
    <fb>308.03500000000003</fb>
    <v>2</v>
  </rv>
  <rv s="0">
    <fb>303.3947</fb>
    <v>2</v>
  </rv>
  <rv s="0">
    <fb>305.52999999999997</fb>
    <v>2</v>
  </rv>
  <rv s="0">
    <fb>45940</fb>
    <v>0</v>
  </rv>
  <rv s="0">
    <fb>8597384</fb>
    <v>1</v>
  </rv>
  <rv s="0">
    <fb>305.66000000000003</fb>
    <v>2</v>
  </rv>
  <rv s="0">
    <fb>310.47000000000003</fb>
    <v>2</v>
  </rv>
  <rv s="0">
    <fb>300.81</fb>
    <v>2</v>
  </rv>
  <rv s="0">
    <fb>300.89</fb>
    <v>2</v>
  </rv>
  <rv s="0">
    <fb>45943</fb>
    <v>0</v>
  </rv>
  <rv s="0">
    <fb>10788680</fb>
    <v>1</v>
  </rv>
  <rv s="0">
    <fb>305.60000000000002</fb>
    <v>2</v>
  </rv>
  <rv s="0">
    <fb>309.45999999999998</fb>
    <v>2</v>
  </rv>
  <rv s="0">
    <fb>305.45</fb>
    <v>2</v>
  </rv>
  <rv s="0">
    <fb>307.97000000000003</fb>
    <v>2</v>
  </rv>
  <rv s="0">
    <fb>45944</fb>
    <v>0</v>
  </rv>
  <rv s="0">
    <fb>16178755</fb>
    <v>1</v>
  </rv>
  <rv s="0">
    <fb>305.83999999999997</fb>
    <v>2</v>
  </rv>
  <rv s="0">
    <fb>307</fb>
    <v>2</v>
  </rv>
  <rv s="0">
    <fb>294.20999999999998</fb>
    <v>2</v>
  </rv>
  <rv s="0">
    <fb>302.08</fb>
    <v>2</v>
  </rv>
  <rv s="0">
    <fb>45945</fb>
    <v>0</v>
  </rv>
  <rv s="0">
    <fb>11354778</fb>
    <v>1</v>
  </rv>
  <rv s="0">
    <fb>306.39</fb>
    <v>2</v>
  </rv>
  <rv s="0">
    <fb>312.11989999999997</fb>
    <v>2</v>
  </rv>
  <rv s="0">
    <fb>305.44</fb>
    <v>2</v>
  </rv>
  <rv s="0">
    <fb>305.69</fb>
    <v>2</v>
  </rv>
  <rv s="0">
    <fb>45946</fb>
    <v>0</v>
  </rv>
  <rv s="0">
    <fb>10549447</fb>
    <v>1</v>
  </rv>
  <rv s="0">
    <fb>305.35000000000002</fb>
    <v>2</v>
  </rv>
  <rv s="0">
    <fb>308.67989999999998</fb>
    <v>2</v>
  </rv>
  <rv s="0">
    <fb>297.07</fb>
    <v>2</v>
  </rv>
  <rv s="0">
    <fb>298.54000000000002</fb>
    <v>2</v>
  </rv>
  <rv s="0">
    <fb>45947</fb>
    <v>0</v>
  </rv>
  <rv s="0">
    <fb>10153454</fb>
    <v>1</v>
  </rv>
  <rv s="0">
    <fb>299.16000000000003</fb>
    <v>2</v>
  </rv>
  <rv s="0">
    <fb>299.55</fb>
    <v>2</v>
  </rv>
  <rv s="0">
    <fb>294.2</fb>
    <v>2</v>
  </rv>
  <rv s="0">
    <fb>297.56</fb>
    <v>2</v>
  </rv>
  <rv s="0">
    <fb>45950</fb>
    <v>0</v>
  </rv>
  <rv s="0">
    <fb>6894943</fb>
    <v>1</v>
  </rv>
  <rv s="0">
    <fb>298.5</fb>
    <v>2</v>
  </rv>
  <rv s="0">
    <fb>303.69</fb>
    <v>2</v>
  </rv>
  <rv s="0">
    <fb>298.1601</fb>
    <v>2</v>
  </rv>
  <rv s="0">
    <fb>302.36</fb>
    <v>2</v>
  </rv>
  <rv s="0">
    <fb>45951</fb>
    <v>0</v>
  </rv>
  <rv s="0">
    <fb>7372671</fb>
    <v>1</v>
  </rv>
  <rv s="0">
    <fb>301.66000000000003</fb>
    <v>2</v>
  </rv>
  <rv s="0">
    <fb>304.05</fb>
    <v>2</v>
  </rv>
  <rv s="0">
    <fb>297</fb>
    <v>2</v>
  </rv>
  <rv s="0">
    <fb>297.08999999999997</fb>
    <v>2</v>
  </rv>
  <rv s="0">
    <fb>45952</fb>
    <v>0</v>
  </rv>
  <rv s="0">
    <fb>8054115</fb>
    <v>1</v>
  </rv>
  <rv s="0">
    <fb>297.77</fb>
    <v>2</v>
  </rv>
  <rv s="0">
    <fb>298.05990000000003</fb>
    <v>2</v>
  </rv>
  <rv s="0">
    <fb>290.54480000000001</fb>
    <v>2</v>
  </rv>
  <rv s="0">
    <fb>294.11</fb>
    <v>2</v>
  </rv>
  <rv s="0">
    <fb>45953</fb>
    <v>0</v>
  </rv>
  <rv s="0">
    <fb>5438810</fb>
    <v>1</v>
  </rv>
  <rv s="0">
    <fb>294.38</fb>
    <v>2</v>
  </rv>
  <rv s="0">
    <fb>296.36989999999997</fb>
    <v>2</v>
  </rv>
  <rv s="0">
    <fb>292.51</fb>
    <v>2</v>
  </rv>
  <rv s="0">
    <fb>294.54000000000002</fb>
    <v>2</v>
  </rv>
  <rv s="0">
    <fb>45954</fb>
    <v>0</v>
  </rv>
  <rv s="0">
    <fb>7228330</fb>
    <v>1</v>
  </rv>
  <rv s="0">
    <fb>296.08</fb>
    <v>2</v>
  </rv>
  <rv s="0">
    <fb>302.60000000000002</fb>
    <v>2</v>
  </rv>
  <rv s="0">
    <fb>295.45</fb>
    <v>2</v>
  </rv>
  <rv s="0">
    <fb>300.44</fb>
    <v>2</v>
  </rv>
  <rv s="0">
    <fb>45838</fb>
    <v>0</v>
  </rv>
  <rv s="0">
    <fb>58887780</fb>
    <v>1</v>
  </rv>
  <rv s="0">
    <fb>223.52</fb>
    <v>2</v>
  </rv>
  <rv s="0">
    <fb>223.82</fb>
    <v>2</v>
  </rv>
  <rv s="0">
    <fb>219.12</fb>
    <v>2</v>
  </rv>
  <rv s="0">
    <fb>219.39</fb>
    <v>2</v>
  </rv>
  <rv s="0">
    <fb>45839</fb>
    <v>0</v>
  </rv>
  <rv s="0">
    <fb>39256830</fb>
    <v>1</v>
  </rv>
  <rv s="0">
    <fb>219.5</fb>
    <v>2</v>
  </rv>
  <rv s="0">
    <fb>221.875</fb>
    <v>2</v>
  </rv>
  <rv s="0">
    <fb>217.93</fb>
    <v>2</v>
  </rv>
  <rv s="0">
    <fb>220.46</fb>
    <v>2</v>
  </rv>
  <rv s="0">
    <fb>45840</fb>
    <v>0</v>
  </rv>
  <rv s="0">
    <fb>30894178</fb>
    <v>1</v>
  </rv>
  <rv s="0">
    <fb>219.73</fb>
    <v>2</v>
  </rv>
  <rv s="0">
    <fb>221.6</fb>
    <v>2</v>
  </rv>
  <rv s="0">
    <fb>219.06</fb>
    <v>2</v>
  </rv>
  <rv s="0">
    <fb>219.92</fb>
    <v>2</v>
  </rv>
  <rv s="0">
    <fb>45841</fb>
    <v>0</v>
  </rv>
  <rv s="0">
    <fb>29632353</fb>
    <v>1</v>
  </rv>
  <rv s="0">
    <fb>221.82</fb>
    <v>2</v>
  </rv>
  <rv s="0">
    <fb>224.01</fb>
    <v>2</v>
  </rv>
  <rv s="0">
    <fb>221.36</fb>
    <v>2</v>
  </rv>
  <rv s="0">
    <fb>223.41</fb>
    <v>2</v>
  </rv>
  <rv s="0">
    <fb>45845</fb>
    <v>0</v>
  </rv>
  <rv s="0">
    <fb>36604139</fb>
    <v>1</v>
  </rv>
  <rv s="0">
    <fb>223</fb>
    <v>2</v>
  </rv>
  <rv s="0">
    <fb>224.29</fb>
    <v>2</v>
  </rv>
  <rv s="0">
    <fb>222.37</fb>
    <v>2</v>
  </rv>
  <rv s="0">
    <fb>223.47</fb>
    <v>2</v>
  </rv>
  <rv s="0">
    <fb>45846</fb>
    <v>0</v>
  </rv>
  <rv s="0">
    <fb>45691987</fb>
    <v>1</v>
  </rv>
  <rv s="0">
    <fb>223.91499999999999</fb>
    <v>2</v>
  </rv>
  <rv s="0">
    <fb>224</fb>
    <v>2</v>
  </rv>
  <rv s="0">
    <fb>218.43</fb>
    <v>2</v>
  </rv>
  <rv s="0">
    <fb>219.36</fb>
    <v>2</v>
  </rv>
  <rv s="0">
    <fb>45847</fb>
    <v>0</v>
  </rv>
  <rv s="0">
    <fb>38155121</fb>
    <v>1</v>
  </rv>
  <rv s="0">
    <fb>221.07</fb>
    <v>2</v>
  </rv>
  <rv s="0">
    <fb>220.47</fb>
    <v>2</v>
  </rv>
  <rv s="0">
    <fb>222.54</fb>
    <v>2</v>
  </rv>
  <rv s="0">
    <fb>45848</fb>
    <v>0</v>
  </rv>
  <rv s="0">
    <fb>30370591</fb>
    <v>1</v>
  </rv>
  <rv s="0">
    <fb>221.55</fb>
    <v>2</v>
  </rv>
  <rv s="0">
    <fb>222.79</fb>
    <v>2</v>
  </rv>
  <rv s="0">
    <fb>219.7</fb>
    <v>2</v>
  </rv>
  <rv s="0">
    <fb>222.26</fb>
    <v>2</v>
  </rv>
  <rv s="0">
    <fb>45849</fb>
    <v>0</v>
  </rv>
  <rv s="0">
    <fb>50518307</fb>
    <v>1</v>
  </rv>
  <rv s="0">
    <fb>223.58</fb>
    <v>2</v>
  </rv>
  <rv s="0">
    <fb>226.6799</fb>
    <v>2</v>
  </rv>
  <rv s="0">
    <fb>225.02</fb>
    <v>2</v>
  </rv>
  <rv s="0">
    <fb>45852</fb>
    <v>0</v>
  </rv>
  <rv s="0">
    <fb>35702597</fb>
    <v>1</v>
  </rv>
  <rv s="0">
    <fb>225.07</fb>
    <v>2</v>
  </rv>
  <rv s="0">
    <fb>226.66</fb>
    <v>2</v>
  </rv>
  <rv s="0">
    <fb>224.24</fb>
    <v>2</v>
  </rv>
  <rv s="0">
    <fb>225.69</fb>
    <v>2</v>
  </rv>
  <rv s="0">
    <fb>45853</fb>
    <v>0</v>
  </rv>
  <rv s="0">
    <fb>34907294</fb>
    <v>1</v>
  </rv>
  <rv s="0">
    <fb>226.2</fb>
    <v>2</v>
  </rv>
  <rv s="0">
    <fb>227.27</fb>
    <v>2</v>
  </rv>
  <rv s="0">
    <fb>225.45500000000001</fb>
    <v>2</v>
  </rv>
  <rv s="0">
    <fb>226.35</fb>
    <v>2</v>
  </rv>
  <rv s="0">
    <fb>45854</fb>
    <v>0</v>
  </rv>
  <rv s="0">
    <fb>39535926</fb>
    <v>1</v>
  </rv>
  <rv s="0">
    <fb>225.875</fb>
    <v>2</v>
  </rv>
  <rv s="0">
    <fb>226.1</fb>
    <v>2</v>
  </rv>
  <rv s="0">
    <fb>222.18</fb>
    <v>2</v>
  </rv>
  <rv s="0">
    <fb>223.19</fb>
    <v>2</v>
  </rv>
  <rv s="0">
    <fb>45855</fb>
    <v>0</v>
  </rv>
  <rv s="0">
    <fb>31855831</fb>
    <v>1</v>
  </rv>
  <rv s="0">
    <fb>223.32</fb>
    <v>2</v>
  </rv>
  <rv s="0">
    <fb>224.5</fb>
    <v>2</v>
  </rv>
  <rv s="0">
    <fb>222.51</fb>
    <v>2</v>
  </rv>
  <rv s="0">
    <fb>223.88</fb>
    <v>2</v>
  </rv>
  <rv s="0">
    <fb>45856</fb>
    <v>0</v>
  </rv>
  <rv s="0">
    <fb>37833807</fb>
    <v>1</v>
  </rv>
  <rv s="0">
    <fb>225.14</fb>
    <v>2</v>
  </rv>
  <rv s="0">
    <fb>226.4</fb>
    <v>2</v>
  </rv>
  <rv s="0">
    <fb>222.98</fb>
    <v>2</v>
  </rv>
  <rv s="0">
    <fb>226.13</fb>
    <v>2</v>
  </rv>
  <rv s="1">
    <v>https://www.bing.com/financeapi/forcetrigger?t=a1mou2&amp;q=XNAS%3aAAPL&amp;form=skydnc</v>
    <v>Learn more on Bing</v>
  </rv>
  <rv s="2">
    <v>en-US</v>
    <v>a1mou2</v>
    <v>268435456</v>
    <v>1</v>
    <v>Powered by Refinitiv</v>
    <v>3</v>
    <v>APPLE INC. (XNAS:AAPL)</v>
    <v>5</v>
    <v>6</v>
    <v>Finance</v>
    <v>7</v>
    <v>344.56990000000002</v>
    <v>223.78039999999999</v>
    <v>1.0771999999999999</v>
    <v>-2.63</v>
    <v>-8.6250000000000007E-3</v>
    <v>USD</v>
    <v>Apple Inc. designs, manufactures and markets smartphones, personal computers, tablets, wearables and accessories, and sells a variety of related services. Its product categories include iPhone, Mac, iPad, Wearables, Home and Accessories. Its services include advertising, AppleCare, cloud services, digital content, and payment services. The Company operates various platforms, including the App Store, that allow customers to discover and download applications and digital content, such as books, music, video, games and podcasts. It also offers digital content through subscription-based services, including Apple Arcade, Apple Fitness+, Apple Music, Apple News+, and Apple TV+. Its wearables include smartwatches, wireless headphones, and spatial computers. Its products include iPhone 16 Pro, iPhone 16, iPhone 15, iPhone 14, iPhone SE, MacBook Air, MacBook Pro, iMac, Mac mini, Mac Studio, Mac Pro, iPad Pro, iPad Air, AirPods, AirPods Pro, AirPods Max, Apple TV, Apple Vision Pro and others.</v>
    <v>166000</v>
    <v>Nasdaq Stock Market</v>
    <v>XNAS</v>
    <v>XNAS</v>
    <v>One Apple Park Way, CUPERTINO, CA, 95014 US</v>
    <v>305.66000000000003</v>
    <v>Computers, Phones &amp; Household Electronics</v>
    <v>Stock</v>
    <v>46246.72295725625</v>
    <v>172</v>
    <v>300.57</v>
    <v>4411528730400</v>
    <v>APPLE INC.</v>
    <v>APPLE INC.</v>
    <v>305.60000000000002</v>
    <v>34.782400000000003</v>
    <v>304.91000000000003</v>
    <v>302.27999999999997</v>
    <v>14594180000</v>
    <v>AAPL</v>
    <v>APPLE INC. (XNAS:AAPL)</v>
    <v>18362524</v>
    <v>53304897</v>
    <v>1977</v>
  </rv>
  <rv s="3">
    <v>173</v>
  </rv>
  <rv s="1">
    <v>https://www.bing.com/financeapi/forcetrigger?t=a1waa2&amp;q=XNYS%3aJPM&amp;form=skydnc</v>
    <v>Learn more on Bing</v>
  </rv>
  <rv s="2">
    <v>en-US</v>
    <v>a1waa2</v>
    <v>268435456</v>
    <v>1</v>
    <v>Powered by Refinitiv</v>
    <v>3</v>
    <v>JPMORGAN CHASE &amp; CO. (XNYS:JPM)</v>
    <v>5</v>
    <v>6</v>
    <v>Finance</v>
    <v>7</v>
    <v>365.815</v>
    <v>279.10000000000002</v>
    <v>0.97619999999999996</v>
    <v>2.87</v>
    <v>7.927E-3</v>
    <v>USD</v>
    <v>JPMorgan Chase &amp; Co. is a financial holding company. The Company is engaged in investment banking, financial services for consumers and small businesses, commercial banking, financial transaction processing and asset management. The Company operates through three segments: Consumer &amp; Community Banking (CCB), Commercial &amp; Investment Bank (CIB), and Asset &amp; Wealth Management (AWM). Its CCB segment offers products and services to consumers and small businesses through bank branches, ATMs, digital and telephone banking. Its CIB segment consists of banking and payments and markets and securities services, and offers a suite of investment banking, lending, payments, market-making, financing, custody and securities products and services to a global base of corporate and institutional clients. AWM segment offers investment and wealth management solutions. It offers multi-asset investment management solutions, retirement products and services, brokerage, custody, estate planning, and others.</v>
    <v>320560</v>
    <v>New York Stock Exchange</v>
    <v>XNYS</v>
    <v>XNYS</v>
    <v>270 Park Avenue, NEW YORK, NY, 10017 US</v>
    <v>365.815</v>
    <v>Banking Services</v>
    <v>Stock</v>
    <v>46246.722960196093</v>
    <v>175</v>
    <v>361.3</v>
    <v>969998653260</v>
    <v>JPMORGAN CHASE &amp; CO.</v>
    <v>JPMORGAN CHASE &amp; CO.</v>
    <v>362.73</v>
    <v>15.6296</v>
    <v>362.04</v>
    <v>364.91</v>
    <v>2658186000</v>
    <v>JPM</v>
    <v>JPMORGAN CHASE &amp; CO. (XNYS:JPM)</v>
    <v>1888989</v>
    <v>8482531</v>
    <v>1968</v>
  </rv>
  <rv s="3">
    <v>176</v>
  </rv>
  <rv s="1">
    <v>https://www.bing.com/financeapi/forcetrigger?t=bq8rqh&amp;q=XNAS%3aCRWD&amp;form=skydnc</v>
    <v>Learn more on Bing</v>
  </rv>
  <rv s="2">
    <v>en-US</v>
    <v>bq8rqh</v>
    <v>268435456</v>
    <v>1</v>
    <v>Powered by Refinitiv</v>
    <v>3</v>
    <v>CROWDSTRIKE HOLDINGS, INC. (XNAS:CRWD)</v>
    <v>5</v>
    <v>6</v>
    <v>Finance</v>
    <v>7</v>
    <v>226.9</v>
    <v>85.68</v>
    <v>1.2524999999999999</v>
    <v>-2.97</v>
    <v>-1.3384E-2</v>
    <v>USD</v>
    <v>CrowdStrike Holdings, Inc. is a global cybersecurity company. The Company provides a cloud-native platform for protecting critical areas of enterprise risk - endpoints and cloud workloads, identity, and data. The Company's artificial intelligence (AI)-native CrowdStrike Falcon platform is a cloud-native unified platform built with AI at the core, capable of harnessing security and enterprise data to deliver highly modular solutions through a single lightweight sensor. Using cloud-scale AI, its Security Cloud enriches and correlates cybersecurity events with indicators of attack, threat intelligence, and enterprise data (including data from across endpoints, workloads, identities, DevOps, IT assets, and configurations) to create actionable data, identify shifts in adversary tactics, and automatically prevent threats in real-time across its customer base. It sells its Falcon platform via a partner-first subscription model to organizations of all sizes across multiple industries globally.</v>
    <v>11157</v>
    <v>Nasdaq Stock Market</v>
    <v>XNAS</v>
    <v>XNAS</v>
    <v>206 E. 9TH STREET, SUITE 1400, AUSTIN, TX, 78701 US</v>
    <v>224.905</v>
    <v>Software &amp; IT Services</v>
    <v>Stock</v>
    <v>46246.722933957812</v>
    <v>178</v>
    <v>217.89</v>
    <v>222941235460</v>
    <v>CROWDSTRIKE HOLDINGS, INC.</v>
    <v>CROWDSTRIKE HOLDINGS, INC.</v>
    <v>219.68</v>
    <v>0</v>
    <v>221.9</v>
    <v>218.93</v>
    <v>1018322000</v>
    <v>CRWD</v>
    <v>CROWDSTRIKE HOLDINGS, INC. (XNAS:CRWD)</v>
    <v>2297172</v>
    <v>8093985</v>
    <v>2011</v>
  </rv>
  <rv s="3">
    <v>179</v>
  </rv>
  <rv s="1">
    <v>https://www.bing.com/financeapi/forcetrigger?t=a1o4sm&amp;q=XNYS%3aBAC&amp;form=skydnc</v>
    <v>Learn more on Bing</v>
  </rv>
  <rv s="2">
    <v>en-US</v>
    <v>a1o4sm</v>
    <v>268435456</v>
    <v>1</v>
    <v>Powered by Refinitiv</v>
    <v>3</v>
    <v>BANK OF AMERICA CORPORATION (XNYS:BAC)</v>
    <v>5</v>
    <v>6</v>
    <v>Finance</v>
    <v>7</v>
    <v>64.704999999999998</v>
    <v>46.115000000000002</v>
    <v>1.1671</v>
    <v>0.53500000000000003</v>
    <v>8.3590000000000001E-3</v>
    <v>USD</v>
    <v>Bank of America Corporation is a bank holding company and a financial holding company. Its segments include Consumer Banking, Global Wealth &amp; Investment Management (GWIM), Global Banking and Global Markets. Consumer Banking segment offers a range of credit, banking and investment products and services to consumers and small businesses. The GWIM includes two businesses: Merrill Wealth Management, which provides tailored solutions to meet clients' needs through a full set of investment management, brokerage, banking and retirement products and Bank of America Private Bank, which provides comprehensive wealth management solutions. Global Banking segment provides a range of lending-related products and services, integrated working capital management and treasury solutions, and underwriting and advisory services. Global Markets segment offers sales and trading services and research services to institutional clients across fixed-income, credit, currency, commodity, and equity businesses.</v>
    <v>211000</v>
    <v>New York Stock Exchange</v>
    <v>XNYS</v>
    <v>XNYS</v>
    <v>Bank Of America Corporate Center, 100 N Tryon St, CHARLOTTE, NC, 28255 US</v>
    <v>64.704999999999998</v>
    <v>Banking Services</v>
    <v>Stock</v>
    <v>46246.722945693749</v>
    <v>181</v>
    <v>63.84</v>
    <v>451277056715</v>
    <v>BANK OF AMERICA CORPORATION</v>
    <v>BANK OF AMERICA CORPORATION</v>
    <v>64.069999999999993</v>
    <v>14.9483</v>
    <v>64</v>
    <v>64.534999999999997</v>
    <v>6992749000</v>
    <v>BAC</v>
    <v>BANK OF AMERICA CORPORATION (XNYS:BAC)</v>
    <v>14746912</v>
    <v>31502855</v>
    <v>1998</v>
  </rv>
  <rv s="3">
    <v>182</v>
  </rv>
  <rv s="1">
    <v>https://www.bing.com/financeapi/forcetrigger?t=a1nhlh&amp;q=XNAS%3aAMZN&amp;form=skydnc</v>
    <v>Learn more on Bing</v>
  </rv>
  <rv s="2">
    <v>en-US</v>
    <v>a1nhlh</v>
    <v>268435456</v>
    <v>1</v>
    <v>Powered by Refinitiv</v>
    <v>3</v>
    <v>AMAZON.COM, INC. (XNAS:AMZN)</v>
    <v>5</v>
    <v>6</v>
    <v>Finance</v>
    <v>7</v>
    <v>287.2</v>
    <v>196</v>
    <v>1.4463999999999999</v>
    <v>-3.25</v>
    <v>-1.1937E-2</v>
    <v>USD</v>
    <v>Amazon.com, Inc. offers a variety of products and services to customers. The products offered through its stores include merchandise and content it has purchased for resale and products offered by third-party sellers. The Company's segments include North America, International, and Amazon Web Services (AWS). It serves consumers through its online and physical stores and focuses on selection, price, and convenience. Customers access its offerings through its websites, mobile apps, Alexa, devices, streaming, and physically visiting its stores. It also manufactures and sells electronic devices, including Kindle, Fire tablet, Fire TV, Echo, Ring, Blink, and eero, and develops and produces media content. It serves developers and enterprises of all sizes, including start-ups, government agencies, and academic institutions, through AWS, which offers a set of on-demand technology services, including compute, storage, database, analytics, and machine learning, and other services.</v>
    <v>1595000</v>
    <v>Nasdaq Stock Market</v>
    <v>XNAS</v>
    <v>XNAS</v>
    <v>410 Terry Avenue North, SEATTLE, WA, 98109 US</v>
    <v>273.45999999999998</v>
    <v>Diversified Retail</v>
    <v>Stock</v>
    <v>46246.722949478906</v>
    <v>184</v>
    <v>267.55500000000001</v>
    <v>2901733116200</v>
    <v>AMAZON.COM, INC.</v>
    <v>AMAZON.COM, INC.</v>
    <v>273</v>
    <v>21.638300000000001</v>
    <v>272.27</v>
    <v>269.02</v>
    <v>10786310000</v>
    <v>AMZN</v>
    <v>AMAZON.COM, INC. (XNAS:AMZN)</v>
    <v>16292706</v>
    <v>46730669</v>
    <v>1996</v>
  </rv>
  <rv s="3">
    <v>185</v>
  </rv>
  <rv s="1">
    <v>https://www.bing.com/financeapi/forcetrigger?t=a233ur&amp;q=ARCX%3aSLV&amp;form=skydnc</v>
    <v>Learn more on Bing</v>
  </rv>
  <rv s="4">
    <v>en-US</v>
    <v>a233ur</v>
    <v>268435456</v>
    <v>1</v>
    <v>Powered by Refinitiv</v>
    <v>8</v>
    <v>IShares:Silver Trust (ARCX:SLV)</v>
    <v>9</v>
    <v>10</v>
    <v>Finance</v>
    <v>11</v>
    <v>109.83</v>
    <v>33.85</v>
    <v>1.4402999999999999</v>
    <v>0.505</v>
    <v>8.6250000000000007E-3</v>
    <v>USD</v>
    <v>NYSE Arca</v>
    <v>ARCX</v>
    <v>5.0000000000000001E-3</v>
    <v>59.954999999999998</v>
    <v>ETF</v>
    <v>46246.722963390624</v>
    <v>187</v>
    <v>58.79</v>
    <v>28081266684.41</v>
    <v>IShares:Silver Trust</v>
    <v>59.54</v>
    <v>58.55</v>
    <v>59.055</v>
    <v>SLV</v>
    <v>IShares:Silver Trust (ARCX:SLV)</v>
    <v>14016997</v>
    <v>15148710</v>
  </rv>
  <rv s="3">
    <v>188</v>
  </rv>
  <rv s="5">
    <v>12</v>
    <v>P/E</v>
    <v>0</v>
  </rv>
  <rv s="5">
    <v>12</v>
    <v>Price/book value</v>
    <v>0</v>
  </rv>
  <rv s="5">
    <v>12</v>
    <v>Price/sales</v>
    <v>0</v>
  </rv>
  <rv s="5">
    <v>12</v>
    <v>Market capitalization</v>
    <v>0</v>
  </rv>
  <rv s="5">
    <v>12</v>
    <v>Dividend yield</v>
    <v>0</v>
  </rv>
  <rv s="5">
    <v>12</v>
    <v>EPS</v>
    <v>0</v>
  </rv>
  <rv s="5">
    <v>12</v>
    <v>Dividend</v>
    <v>0</v>
  </rv>
  <rv s="5">
    <v>12</v>
    <v>Price</v>
    <v>0</v>
  </rv>
  <rv s="5">
    <v>12</v>
    <v>Beta</v>
    <v>0</v>
  </rv>
  <rv s="5">
    <v>12</v>
    <v>52 week high</v>
    <v>0</v>
  </rv>
  <rv s="5">
    <v>12</v>
    <v>52 week low</v>
    <v>0</v>
  </rv>
  <rv s="5">
    <v>12</v>
    <v>Volume</v>
    <v>0</v>
  </rv>
  <rv s="5">
    <v>12</v>
    <v>Average volume</v>
    <v>0</v>
  </rv>
  <rv s="5">
    <v>12</v>
    <v>Shares outstanding</v>
    <v>0</v>
  </rv>
  <rv s="5">
    <v>12</v>
    <v>Name</v>
    <v>0</v>
  </rv>
  <rv s="5">
    <v>12</v>
    <v>Exchange</v>
    <v>0</v>
  </rv>
  <rv s="5">
    <v>12</v>
    <v>Description</v>
    <v>0</v>
  </rv>
  <rv s="6">
    <v>12</v>
    <v>JPM</v>
    <v>Daily</v>
    <v>45934</v>
    <v>45954</v>
    <v>0</v>
    <v>1</v>
    <v>638968608000000000,639048645565206244,0</v>
    <v>0</v>
    <v>a1waa2</v>
    <v>XNYS:JPM</v>
    <v>1</v>
    <v>2</v>
    <v>3</v>
    <v>4</v>
    <v>5</v>
  </rv>
  <rv s="6">
    <v>12</v>
    <v>AMZN</v>
    <v>Daily</v>
    <v>45836</v>
    <v>45856</v>
    <v>0</v>
    <v>1</v>
    <v>638883936000000000,639048645565223380,0</v>
    <v>6</v>
    <v>a1nhlh</v>
    <v>XNAS:AMZN</v>
    <v>7</v>
    <v>8</v>
    <v>9</v>
    <v>10</v>
    <v>11</v>
  </rv>
</rvData>
</file>

<file path=xl/richData/rdrichvaluestructure.xml><?xml version="1.0" encoding="utf-8"?>
<rvStructures xmlns="http://schemas.microsoft.com/office/spreadsheetml/2017/richdata" count="7">
  <s t="_formattednumber">
    <k n="_Format" t="spb"/>
  </s>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Exchange" t="s"/>
    <k n="Exchange abbreviation" t="s"/>
    <k n="Expense ratio"/>
    <k n="High"/>
    <k n="Instrument type" t="s"/>
    <k n="Last trade time"/>
    <k n="LearnMoreOnLink" t="r"/>
    <k n="Low"/>
    <k n="Market cap"/>
    <k n="Name" t="s"/>
    <k n="Open"/>
    <k n="Previous close"/>
    <k n="Price"/>
    <k n="Ticker symbol" t="s"/>
    <k n="UniqueName" t="s"/>
    <k n="Volume"/>
    <k n="Volume average"/>
  </s>
  <s t="_error">
    <k n="errorType" t="i"/>
    <k n="field" t="s"/>
    <k n="subType" t="i"/>
  </s>
  <s t="_stockhistorycache">
    <k n="_Format" t="spb"/>
    <k n="Symbol" t="s"/>
    <k n="Interval" t="s"/>
    <k n="StartDate" t="i"/>
    <k n="EndDate" t="i"/>
    <k n="f1904" t="b"/>
    <k n="fdcompat" t="b"/>
    <k n="etag" t="s"/>
    <k n="Date" t="a"/>
    <k n="EntityId" t="s"/>
    <k n="Instrument" t="s"/>
    <k n="Close" t="a"/>
    <k n="Open" t="a"/>
    <k n="High" t="a"/>
    <k n="Low" t="a"/>
    <k n="Volume" t="a"/>
  </s>
</rvStructures>
</file>

<file path=xl/richData/rdsupportingpropertybag.xml><?xml version="1.0" encoding="utf-8"?>
<supportingPropertyBags xmlns="http://schemas.microsoft.com/office/spreadsheetml/2017/richdata2">
  <spbArrays count="2">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34">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Volume average</v>
      <v t="s">Market cap</v>
      <v t="s">Beta</v>
      <v t="s">Instrument type</v>
      <v t="s">_Flags</v>
      <v t="s">UniqueName</v>
      <v t="s">_DisplayString</v>
      <v t="s">LearnMoreOnLink</v>
      <v t="s">%ProviderInfo</v>
    </a>
  </spbArrays>
  <spbData count="13">
    <spb s="0">
      <v>1</v>
    </spb>
    <spb s="0">
      <v>2</v>
    </spb>
    <spb s="0">
      <v>3</v>
    </spb>
    <spb s="1">
      <v>0</v>
      <v>Name</v>
      <v>LearnMoreOnLink</v>
    </spb>
    <spb s="2">
      <v>0</v>
      <v>0</v>
      <v>0</v>
    </spb>
    <spb s="3">
      <v>4</v>
      <v>4</v>
      <v>4</v>
      <v>4</v>
    </spb>
    <spb s="4">
      <v>3</v>
      <v>4</v>
      <v>4</v>
      <v>3</v>
      <v>5</v>
      <v>3</v>
      <v>3</v>
      <v>3</v>
      <v>2</v>
      <v>2</v>
      <v>6</v>
      <v>7</v>
      <v>3</v>
      <v>3</v>
      <v>3</v>
      <v>2</v>
      <v>8</v>
      <v>9</v>
      <v>10</v>
      <v>2</v>
    </spb>
    <spb s="5">
      <v>Real-Time Nasdaq Last Sale</v>
      <v>from previous close</v>
      <v>from previous close</v>
      <v>Source: Nasdaq Last Sale</v>
      <v>GMT</v>
    </spb>
    <spb s="1">
      <v>1</v>
      <v>Name</v>
      <v>LearnMoreOnLink</v>
    </spb>
    <spb s="6">
      <v>4</v>
      <v>4</v>
      <v>4</v>
    </spb>
    <spb s="7">
      <v>3</v>
      <v>4</v>
      <v>3</v>
      <v>5</v>
      <v>3</v>
      <v>3</v>
      <v>3</v>
      <v>2</v>
      <v>6</v>
      <v>7</v>
      <v>3</v>
      <v>3</v>
      <v>6</v>
      <v>3</v>
      <v>2</v>
      <v>8</v>
      <v>10</v>
    </spb>
    <spb s="8">
      <v>Real-Time Nasdaq Last Sale</v>
      <v>from previous close</v>
      <v>Source: Nasdaq Last Sale</v>
      <v>from previous close</v>
      <v>GMT</v>
    </spb>
    <spb s="9">
      <v>3</v>
      <v>1</v>
      <v>3</v>
      <v>3</v>
      <v>3</v>
      <v>2</v>
    </spb>
  </spbData>
</supportingPropertyBags>
</file>

<file path=xl/richData/rdsupportingpropertybagstructure.xml><?xml version="1.0" encoding="utf-8"?>
<spbStructures xmlns="http://schemas.microsoft.com/office/spreadsheetml/2017/richdata2" count="10">
  <s>
    <k n="_Self" t="i"/>
  </s>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
    <k n="UniqueName" t="spb"/>
    <k n="`%ProviderInfo" t="spb"/>
    <k n="LearnMoreOnLink" t="spb"/>
  </s>
  <s>
    <k n="Low" t="i"/>
    <k n="Beta" t="i"/>
    <k n="High" t="i"/>
    <k n="Name" t="i"/>
    <k n="Open" t="i"/>
    <k n="Price" t="i"/>
    <k n="Change" t="i"/>
    <k n="Volume" t="i"/>
    <k n="Change (%)" t="i"/>
    <k n="Market cap" t="i"/>
    <k n="52 week low" t="i"/>
    <k n="52 week high" t="i"/>
    <k n="Expense ratio" t="i"/>
    <k n="Previous close" t="i"/>
    <k n="Volume average" t="i"/>
    <k n="Last trade time" t="i"/>
    <k n="`%EntityServiceId" t="i"/>
  </s>
  <s>
    <k n="Price" t="s"/>
    <k n="Change" t="s"/>
    <k n="Exchange" t="s"/>
    <k n="Change (%)" t="s"/>
    <k n="Last trade time" t="s"/>
  </s>
  <s>
    <k n="Low" t="i"/>
    <k n="Date" t="i"/>
    <k n="High" t="i"/>
    <k n="Open" t="i"/>
    <k n="Close" t="i"/>
    <k n="Volum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0" formatCode="General"/>
    </x:dxf>
    <x:dxf>
      <x:numFmt numFmtId="3" formatCode="#,##0"/>
    </x:dxf>
    <x:dxf>
      <x:numFmt numFmtId="2" formatCode="0.00"/>
    </x:dxf>
    <x:dxf>
      <x:numFmt numFmtId="27" formatCode="d/m/yyyy\ h:mm"/>
    </x:dxf>
    <x:dxf>
      <x:numFmt numFmtId="14" formatCode="0.00%"/>
    </x:dxf>
    <x:dxf>
      <x:numFmt numFmtId="4" formatCode="#,##0.00"/>
    </x:dxf>
    <x:dxf>
      <x:numFmt numFmtId="1" formatCode="0"/>
    </x:dxf>
    <x:dxf>
      <x:numFmt numFmtId="19" formatCode="d/m/yyyy"/>
    </x:dxf>
  </dxfs>
  <richProperties>
    <rPr n="NumberFormat" t="s"/>
    <rPr n="IsTitleField" t="b"/>
  </richProperties>
  <richStyles>
    <rSty dxfid="7"/>
    <rSty dxfid="1">
      <rpv i="0">#,##0</rpv>
    </rSty>
    <rSty dxfid="0">
      <rpv i="0">_([$$-en-US]* #,##0.00_);_([$$-en-US]* (#,##0.00);_([$$-en-US]* "-"??_);_(@_)</rpv>
    </rSty>
    <rSty dxfid="5">
      <rpv i="0">#,##0.00</rpv>
    </rSty>
    <rSty>
      <rpv i="1">1</rpv>
    </rSty>
    <rSty dxfid="4"/>
    <rSty dxfid="0">
      <rpv i="0">_([$$-en-US]* #,##0_);_([$$-en-US]* (#,##0);_([$$-en-US]* "-"_);_(@_)</rpv>
    </rSty>
    <rSty dxfid="3"/>
    <rSty dxfid="6">
      <rpv i="0">0</rpv>
    </rSty>
    <rSty dxfid="2">
      <rpv i="0">0.00</rpv>
    </rSty>
  </richStyles>
</richStyleSheet>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5002DE0-323E-466A-83D1-E1305C705370}" name="Table_1__2" displayName="Table_1__2" ref="A1:V45" tableType="queryTable" totalsRowShown="0">
  <autoFilter ref="A1:V45" xr:uid="{85002DE0-323E-466A-83D1-E1305C705370}"/>
  <tableColumns count="22">
    <tableColumn id="1" xr3:uid="{67973FBA-516D-4CF0-AC91-834D2CC81953}" uniqueName="1" name="Column1" queryTableFieldId="1" dataDxfId="88"/>
    <tableColumn id="2" xr3:uid="{78030AD1-56A8-4BD5-9FEA-C1E6590ED4D0}" uniqueName="2" name="Column2" queryTableFieldId="2" dataDxfId="87"/>
    <tableColumn id="3" xr3:uid="{1B66B862-85C0-4CCC-8123-B4CEBFB04746}" uniqueName="3" name="Column3" queryTableFieldId="3" dataDxfId="86"/>
    <tableColumn id="4" xr3:uid="{FFEAEC0F-1E7A-4847-800A-06F7BAA26132}" uniqueName="4" name="Column4" queryTableFieldId="4" dataDxfId="85"/>
    <tableColumn id="5" xr3:uid="{7114BD49-849D-40DF-843E-4B273FB2E3CD}" uniqueName="5" name="Column5" queryTableFieldId="5" dataDxfId="84"/>
    <tableColumn id="6" xr3:uid="{7193731B-1DA0-4551-86BA-EA40AA104E2C}" uniqueName="6" name="Column6" queryTableFieldId="6" dataDxfId="83"/>
    <tableColumn id="7" xr3:uid="{A20C9F5E-23FD-47A3-BDEF-3F2829F04044}" uniqueName="7" name="Column7" queryTableFieldId="7" dataDxfId="82"/>
    <tableColumn id="8" xr3:uid="{BEE20753-6541-442C-9E3B-FEA696295C0D}" uniqueName="8" name="Column8" queryTableFieldId="8" dataDxfId="81"/>
    <tableColumn id="9" xr3:uid="{989E262D-7D4E-486E-9A20-5B9348EF41FF}" uniqueName="9" name="Column9" queryTableFieldId="9" dataDxfId="80"/>
    <tableColumn id="10" xr3:uid="{A7731145-54AD-42A9-9725-526257EB2761}" uniqueName="10" name="Column10" queryTableFieldId="10" dataDxfId="79"/>
    <tableColumn id="11" xr3:uid="{30A490CD-1F2A-4DBB-9BFC-6F03F09A362B}" uniqueName="11" name="Column11" queryTableFieldId="11" dataDxfId="78"/>
    <tableColumn id="12" xr3:uid="{2D008F83-1EDD-4A0F-A066-BCC0C59B52EC}" uniqueName="12" name="Column12" queryTableFieldId="12" dataDxfId="77"/>
    <tableColumn id="13" xr3:uid="{7739E13C-F0E9-48F6-8E24-2C1955595053}" uniqueName="13" name="Column13" queryTableFieldId="13" dataDxfId="76"/>
    <tableColumn id="14" xr3:uid="{089885AA-F6D3-4F66-B636-03A02CD878D9}" uniqueName="14" name="Column14" queryTableFieldId="14" dataDxfId="75"/>
    <tableColumn id="15" xr3:uid="{D9C82734-FA54-4EAD-98E0-4B5870A86CA5}" uniqueName="15" name="Column15" queryTableFieldId="15" dataDxfId="74"/>
    <tableColumn id="16" xr3:uid="{60B2649A-A27C-4519-A75E-96A6B60246C0}" uniqueName="16" name="Column16" queryTableFieldId="16" dataDxfId="73"/>
    <tableColumn id="17" xr3:uid="{E0A91875-6E42-420F-A939-B5DE6877A749}" uniqueName="17" name="Column17" queryTableFieldId="17" dataDxfId="72"/>
    <tableColumn id="18" xr3:uid="{9A27400E-2D53-4442-A867-0657B73A129C}" uniqueName="18" name="Column18" queryTableFieldId="18" dataDxfId="71"/>
    <tableColumn id="19" xr3:uid="{567D8079-8927-40DF-9B4A-F13977113C58}" uniqueName="19" name="Column19" queryTableFieldId="19" dataDxfId="70"/>
    <tableColumn id="20" xr3:uid="{8967B898-372E-4379-91DC-F0313550C0E6}" uniqueName="20" name="Column20" queryTableFieldId="20" dataDxfId="69"/>
    <tableColumn id="21" xr3:uid="{422BC182-7E02-457D-96C4-3ED88280740A}" uniqueName="21" name="Column21" queryTableFieldId="21" dataDxfId="68"/>
    <tableColumn id="22" xr3:uid="{689029F3-14EA-40C7-9BCA-11BCFBB55883}" uniqueName="22" name="Column22" queryTableFieldId="22" dataDxfId="6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5D027CB-4996-4D9A-BA52-9A65E54D976E}" name="Table_1__24" displayName="Table_1__24" ref="A1:V41" tableType="queryTable" totalsRowShown="0">
  <autoFilter ref="A1:V41" xr:uid="{85002DE0-323E-466A-83D1-E1305C705370}"/>
  <tableColumns count="22">
    <tableColumn id="1" xr3:uid="{E6E34FFD-C42A-4F54-ACBA-168C45080B52}" uniqueName="1" name="Column1" queryTableFieldId="1" dataDxfId="110"/>
    <tableColumn id="2" xr3:uid="{7330DE49-5436-4B88-B412-9E3D4610285D}" uniqueName="2" name="Column2" queryTableFieldId="2" dataDxfId="109"/>
    <tableColumn id="3" xr3:uid="{154C7049-EC22-4F91-B1A1-B991254AE797}" uniqueName="3" name="Column3" queryTableFieldId="3" dataDxfId="108"/>
    <tableColumn id="4" xr3:uid="{D744F1CC-D42B-45D1-92CC-DDEB9D8EA12C}" uniqueName="4" name="Column4" queryTableFieldId="4" dataDxfId="107"/>
    <tableColumn id="5" xr3:uid="{81A2A88B-8AC6-4383-B6ED-C572D7B80D17}" uniqueName="5" name="Column5" queryTableFieldId="5" dataDxfId="106"/>
    <tableColumn id="6" xr3:uid="{CA6A48D0-A2CF-430A-995B-553250820627}" uniqueName="6" name="Column6" queryTableFieldId="6" dataDxfId="105"/>
    <tableColumn id="7" xr3:uid="{F0394CA2-3531-4D2C-80C0-37A1FA871936}" uniqueName="7" name="Column7" queryTableFieldId="7" dataDxfId="104"/>
    <tableColumn id="8" xr3:uid="{04FB44EF-F445-4B55-8131-C8A0D848C0B8}" uniqueName="8" name="Column8" queryTableFieldId="8" dataDxfId="103"/>
    <tableColumn id="9" xr3:uid="{53636EE9-8C8B-4A95-8D9A-0DB537F72832}" uniqueName="9" name="Column9" queryTableFieldId="9" dataDxfId="102"/>
    <tableColumn id="10" xr3:uid="{4EB1EA9E-0BB5-4BD0-BC5A-3B36710F3A68}" uniqueName="10" name="Column10" queryTableFieldId="10" dataDxfId="101"/>
    <tableColumn id="11" xr3:uid="{25525B2D-43C1-4351-907E-EEEAA8E344A4}" uniqueName="11" name="Column11" queryTableFieldId="11" dataDxfId="100"/>
    <tableColumn id="12" xr3:uid="{622CE860-775D-4FAB-8A5B-A6563CFBAB45}" uniqueName="12" name="Column12" queryTableFieldId="12" dataDxfId="99"/>
    <tableColumn id="13" xr3:uid="{137B5001-5A8E-4062-AC10-E2B3176177B6}" uniqueName="13" name="Column13" queryTableFieldId="13" dataDxfId="98"/>
    <tableColumn id="14" xr3:uid="{05674EA9-B6B9-421E-A3FC-7A8B0385BB78}" uniqueName="14" name="Column14" queryTableFieldId="14" dataDxfId="97"/>
    <tableColumn id="15" xr3:uid="{D19585F7-17D6-4407-8772-0141CCC92C3E}" uniqueName="15" name="Column15" queryTableFieldId="15" dataDxfId="96"/>
    <tableColumn id="16" xr3:uid="{688761EE-02CA-4116-8C8B-FB5DC9C9820B}" uniqueName="16" name="Column16" queryTableFieldId="16" dataDxfId="95"/>
    <tableColumn id="17" xr3:uid="{94848CAE-5FA6-4A32-A6F2-3B00B7EA73DD}" uniqueName="17" name="Column17" queryTableFieldId="17" dataDxfId="94"/>
    <tableColumn id="18" xr3:uid="{0CF1A6CA-0CAB-423B-9000-C01E58B692F8}" uniqueName="18" name="Column18" queryTableFieldId="18" dataDxfId="93"/>
    <tableColumn id="19" xr3:uid="{B025E64A-A40C-432D-A29B-3D0B4A2CD6DC}" uniqueName="19" name="Column19" queryTableFieldId="19" dataDxfId="92"/>
    <tableColumn id="20" xr3:uid="{706B6248-2A96-48C1-9E76-3BE057B0BA26}" uniqueName="20" name="Column20" queryTableFieldId="20" dataDxfId="91"/>
    <tableColumn id="21" xr3:uid="{A40923BB-8E41-450F-83A8-ACDBA338854C}" uniqueName="21" name="Column21" queryTableFieldId="21" dataDxfId="90"/>
    <tableColumn id="22" xr3:uid="{1E1B6330-9105-46E3-9718-E649B3FB6B59}" uniqueName="22" name="Column22" queryTableFieldId="22" dataDxfId="8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7C8F36-2566-4685-850B-BF31FBC227FC}" name="Table_1__245" displayName="Table_1__245" ref="A1:V39" tableType="queryTable" totalsRowShown="0">
  <autoFilter ref="A1:V39" xr:uid="{85002DE0-323E-466A-83D1-E1305C705370}"/>
  <tableColumns count="22">
    <tableColumn id="1" xr3:uid="{7254D3ED-34AE-4713-B360-93B946595659}" uniqueName="1" name="Column1" queryTableFieldId="1" dataDxfId="66"/>
    <tableColumn id="2" xr3:uid="{49DB5D89-952F-44B5-AF89-5B0403304AA4}" uniqueName="2" name="Column2" queryTableFieldId="2" dataDxfId="65"/>
    <tableColumn id="3" xr3:uid="{A1DC208B-2CE9-4EE9-BFAA-7A51C718CC68}" uniqueName="3" name="Column3" queryTableFieldId="3" dataDxfId="64"/>
    <tableColumn id="4" xr3:uid="{198B928A-B8F8-45DD-971E-80747F993644}" uniqueName="4" name="Column4" queryTableFieldId="4" dataDxfId="63"/>
    <tableColumn id="5" xr3:uid="{F8E9E330-BC2F-4AEA-B147-2BEB2BB0DA57}" uniqueName="5" name="Column5" queryTableFieldId="5" dataDxfId="62"/>
    <tableColumn id="6" xr3:uid="{E066031D-2F1E-433B-9E2D-686E8470209C}" uniqueName="6" name="Column6" queryTableFieldId="6" dataDxfId="61"/>
    <tableColumn id="7" xr3:uid="{C9C7D8A1-C2F9-4AD3-814B-2F3C3039BAA6}" uniqueName="7" name="Column7" queryTableFieldId="7" dataDxfId="60"/>
    <tableColumn id="8" xr3:uid="{BEEEEBDA-6869-46B0-B068-9B027C56C028}" uniqueName="8" name="Column8" queryTableFieldId="8" dataDxfId="59"/>
    <tableColumn id="9" xr3:uid="{69E20168-6AB8-4CD2-8D35-432B8E8D09C4}" uniqueName="9" name="Column9" queryTableFieldId="9" dataDxfId="58"/>
    <tableColumn id="10" xr3:uid="{B49E7F32-BC27-4921-88B1-F5C980B192E8}" uniqueName="10" name="Column10" queryTableFieldId="10" dataDxfId="57"/>
    <tableColumn id="11" xr3:uid="{BA0A85A7-730F-41F8-A7A7-735601F83CCA}" uniqueName="11" name="Column11" queryTableFieldId="11" dataDxfId="56"/>
    <tableColumn id="12" xr3:uid="{D1179755-8FA1-4572-9799-B3371AAA493A}" uniqueName="12" name="Column12" queryTableFieldId="12" dataDxfId="55"/>
    <tableColumn id="13" xr3:uid="{930494F1-7030-4A67-8B67-91EE0F4FB553}" uniqueName="13" name="Column13" queryTableFieldId="13" dataDxfId="54"/>
    <tableColumn id="14" xr3:uid="{0AF46957-7BDA-4772-9113-5669BC70DC88}" uniqueName="14" name="Column14" queryTableFieldId="14" dataDxfId="53"/>
    <tableColumn id="15" xr3:uid="{DC903A45-258A-4804-AA38-C19330AF130E}" uniqueName="15" name="Column15" queryTableFieldId="15" dataDxfId="52"/>
    <tableColumn id="16" xr3:uid="{FA52F544-90D9-44AE-99F6-B127C06E6A7E}" uniqueName="16" name="Column16" queryTableFieldId="16" dataDxfId="51"/>
    <tableColumn id="17" xr3:uid="{0695E467-954D-4B09-82E3-4A9A0A7959EE}" uniqueName="17" name="Column17" queryTableFieldId="17" dataDxfId="50"/>
    <tableColumn id="18" xr3:uid="{25B7A49A-D1C8-4BBD-A08C-0BB8668403F1}" uniqueName="18" name="Column18" queryTableFieldId="18" dataDxfId="49"/>
    <tableColumn id="19" xr3:uid="{3D041229-E564-4F33-91D0-5C4CEADEF756}" uniqueName="19" name="Column19" queryTableFieldId="19" dataDxfId="48"/>
    <tableColumn id="20" xr3:uid="{C3D65FFD-411D-4791-8F6D-CFFD61B41DB8}" uniqueName="20" name="Column20" queryTableFieldId="20" dataDxfId="47"/>
    <tableColumn id="21" xr3:uid="{C7590715-4AB6-448E-BEF0-2DFC47972532}" uniqueName="21" name="Column21" queryTableFieldId="21" dataDxfId="46"/>
    <tableColumn id="22" xr3:uid="{DAFA2C00-86F7-4D76-B310-A52EE051DF83}" uniqueName="22" name="Column22" queryTableFieldId="22" dataDxfId="4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E7B6E60-7875-4921-BD78-C1AAC32EBEC5}" name="Table_1__2456" displayName="Table_1__2456" ref="A1:V43" tableType="queryTable" totalsRowShown="0">
  <autoFilter ref="A1:V43" xr:uid="{85002DE0-323E-466A-83D1-E1305C705370}"/>
  <tableColumns count="22">
    <tableColumn id="1" xr3:uid="{4773712D-3B48-4B98-BE2E-8600179813D8}" uniqueName="1" name="Column1" queryTableFieldId="1" dataDxfId="44"/>
    <tableColumn id="2" xr3:uid="{0A2F4B7E-79AD-4365-B70A-58CDE0624FFF}" uniqueName="2" name="Column2" queryTableFieldId="2" dataDxfId="43"/>
    <tableColumn id="3" xr3:uid="{BD5B0405-81FD-4391-821B-C278086C8BD2}" uniqueName="3" name="Column3" queryTableFieldId="3" dataDxfId="42"/>
    <tableColumn id="4" xr3:uid="{46F41835-5D06-4F24-9179-96E1948CF964}" uniqueName="4" name="Column4" queryTableFieldId="4" dataDxfId="41"/>
    <tableColumn id="5" xr3:uid="{9755A81A-B6DB-472C-BB5A-42A2BD0CB1E4}" uniqueName="5" name="Column5" queryTableFieldId="5" dataDxfId="40"/>
    <tableColumn id="6" xr3:uid="{ABAE91F4-086A-4CA6-9037-183296E971E5}" uniqueName="6" name="Column6" queryTableFieldId="6" dataDxfId="39"/>
    <tableColumn id="7" xr3:uid="{93ED2E4B-3A01-4CE1-BA38-C155E65E0F47}" uniqueName="7" name="Column7" queryTableFieldId="7" dataDxfId="38"/>
    <tableColumn id="8" xr3:uid="{9E7D5B62-7260-4CCC-ACB1-9D418696D07E}" uniqueName="8" name="Column8" queryTableFieldId="8" dataDxfId="37"/>
    <tableColumn id="9" xr3:uid="{29CD2FC5-12AD-443B-8490-99E1227A376E}" uniqueName="9" name="Column9" queryTableFieldId="9" dataDxfId="36"/>
    <tableColumn id="10" xr3:uid="{5074E198-43BD-43AE-92EB-5546C2D3EA5B}" uniqueName="10" name="Column10" queryTableFieldId="10" dataDxfId="35"/>
    <tableColumn id="11" xr3:uid="{92F76B39-BD8C-4F32-9E7C-5EEEE11E17DF}" uniqueName="11" name="Column11" queryTableFieldId="11" dataDxfId="34"/>
    <tableColumn id="12" xr3:uid="{E1C0C66F-284D-4168-ADD6-0FF118CDE361}" uniqueName="12" name="Column12" queryTableFieldId="12" dataDxfId="33"/>
    <tableColumn id="13" xr3:uid="{790C8DBD-CA38-47C4-8436-AD2E190924D0}" uniqueName="13" name="Column13" queryTableFieldId="13" dataDxfId="32"/>
    <tableColumn id="14" xr3:uid="{F0ECEF61-BA85-4961-8FA6-65EA836D9F5C}" uniqueName="14" name="Column14" queryTableFieldId="14" dataDxfId="31"/>
    <tableColumn id="15" xr3:uid="{3C2601A5-B5AD-4BF9-8675-EDB10EF8E989}" uniqueName="15" name="Column15" queryTableFieldId="15" dataDxfId="30"/>
    <tableColumn id="16" xr3:uid="{50553053-F2B4-42CE-97C7-CD69DFAB41AB}" uniqueName="16" name="Column16" queryTableFieldId="16" dataDxfId="29"/>
    <tableColumn id="17" xr3:uid="{628AAB21-4D88-4823-9599-BD4E268DE1DA}" uniqueName="17" name="Column17" queryTableFieldId="17" dataDxfId="28"/>
    <tableColumn id="18" xr3:uid="{0CED138B-301D-4096-AB1B-0E913BADB17A}" uniqueName="18" name="Column18" queryTableFieldId="18" dataDxfId="27"/>
    <tableColumn id="19" xr3:uid="{7603F35E-7190-48FC-B496-D4D85D22BBEF}" uniqueName="19" name="Column19" queryTableFieldId="19" dataDxfId="26"/>
    <tableColumn id="20" xr3:uid="{5379432B-1384-473A-8491-D2A7FD8E143F}" uniqueName="20" name="Column20" queryTableFieldId="20" dataDxfId="25"/>
    <tableColumn id="21" xr3:uid="{EB0B0166-D777-4959-BFEB-4E313AB91627}" uniqueName="21" name="Column21" queryTableFieldId="21" dataDxfId="24"/>
    <tableColumn id="22" xr3:uid="{B23FF036-EA1C-4B26-92FA-5C9977D67E88}" uniqueName="22" name="Column22" queryTableFieldId="22" dataDxfId="23"/>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4E48EB2-B070-4540-8701-02E2114FD925}" name="Table_1__24567" displayName="Table_1__24567" ref="A1:V45" tableType="queryTable" totalsRowShown="0">
  <autoFilter ref="A1:V45" xr:uid="{85002DE0-323E-466A-83D1-E1305C705370}"/>
  <tableColumns count="22">
    <tableColumn id="1" xr3:uid="{442F1D8E-E9CC-4EBF-9259-B70A067F87C1}" uniqueName="1" name="Column1" queryTableFieldId="1" dataDxfId="22"/>
    <tableColumn id="2" xr3:uid="{D4F32831-38B9-45B9-BB77-F8B1085EE740}" uniqueName="2" name="Column2" queryTableFieldId="2" dataDxfId="21"/>
    <tableColumn id="3" xr3:uid="{176141B8-AFAD-40DD-862D-C4A4E22C38D7}" uniqueName="3" name="Column3" queryTableFieldId="3" dataDxfId="20"/>
    <tableColumn id="4" xr3:uid="{819C3439-DA7F-4503-B398-A7C1947CE7FF}" uniqueName="4" name="Column4" queryTableFieldId="4" dataDxfId="19"/>
    <tableColumn id="5" xr3:uid="{4ECDB26A-C818-4D00-8A67-14336D59DBFD}" uniqueName="5" name="Column5" queryTableFieldId="5" dataDxfId="18"/>
    <tableColumn id="6" xr3:uid="{F3FC3CBF-8C75-4A62-84AB-0C94E6849301}" uniqueName="6" name="Column6" queryTableFieldId="6" dataDxfId="17"/>
    <tableColumn id="7" xr3:uid="{1FE9DB5C-BCB4-4239-9E67-6B5E72759D68}" uniqueName="7" name="Column7" queryTableFieldId="7" dataDxfId="16"/>
    <tableColumn id="8" xr3:uid="{FBEEDB19-5208-4A45-AA33-8D68E444FBD2}" uniqueName="8" name="Column8" queryTableFieldId="8" dataDxfId="15"/>
    <tableColumn id="9" xr3:uid="{01229EE1-EA74-4CFF-BABC-8DC333FB4161}" uniqueName="9" name="Column9" queryTableFieldId="9" dataDxfId="14"/>
    <tableColumn id="10" xr3:uid="{80014083-1896-4660-839C-C1B801F46F15}" uniqueName="10" name="Column10" queryTableFieldId="10" dataDxfId="13"/>
    <tableColumn id="11" xr3:uid="{B753D90A-55AC-404E-9ED0-359BF31B6768}" uniqueName="11" name="Column11" queryTableFieldId="11" dataDxfId="12"/>
    <tableColumn id="12" xr3:uid="{F30B167E-7E74-4FA0-9F33-37697CDE9D10}" uniqueName="12" name="Column12" queryTableFieldId="12" dataDxfId="11"/>
    <tableColumn id="13" xr3:uid="{9A57E156-96FE-4B29-9837-86BF0227A541}" uniqueName="13" name="Column13" queryTableFieldId="13" dataDxfId="10"/>
    <tableColumn id="14" xr3:uid="{AAADC7F2-DF20-469E-8DE8-FF32749011A3}" uniqueName="14" name="Column14" queryTableFieldId="14" dataDxfId="9"/>
    <tableColumn id="15" xr3:uid="{1A3344BE-8C8E-4A65-88D2-5308DDC4D841}" uniqueName="15" name="Column15" queryTableFieldId="15" dataDxfId="8"/>
    <tableColumn id="16" xr3:uid="{74C64D23-AB4A-4894-8141-50220B8CC25C}" uniqueName="16" name="Column16" queryTableFieldId="16" dataDxfId="7"/>
    <tableColumn id="17" xr3:uid="{32279C14-8E3B-4A84-AB56-697F14AB6902}" uniqueName="17" name="Column17" queryTableFieldId="17" dataDxfId="6"/>
    <tableColumn id="18" xr3:uid="{43B20268-496D-4905-A3F8-0E275DFEE61C}" uniqueName="18" name="Column18" queryTableFieldId="18" dataDxfId="5"/>
    <tableColumn id="19" xr3:uid="{ECC05708-7368-4411-AFD7-79344F7ACAC2}" uniqueName="19" name="Column19" queryTableFieldId="19" dataDxfId="4"/>
    <tableColumn id="20" xr3:uid="{5C48E421-447E-44BB-BE28-4D67072CF5E5}" uniqueName="20" name="Column20" queryTableFieldId="20" dataDxfId="3"/>
    <tableColumn id="21" xr3:uid="{325E85C2-0A67-437D-B57F-F6F60A315F21}" uniqueName="21" name="Column21" queryTableFieldId="21" dataDxfId="2"/>
    <tableColumn id="22" xr3:uid="{8BFD10BC-8464-4704-A327-C19F69806F3F}" uniqueName="22" name="Column22" queryTableFieldId="22" dataDxfId="1"/>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A0CAA25-2B34-4D22-8E6A-C3BDF231E9F3}" name="Table_1" displayName="Table_1" ref="A1:C51" tableType="queryTable" totalsRowShown="0">
  <autoFilter ref="A1:C51" xr:uid="{3A0CAA25-2B34-4D22-8E6A-C3BDF231E9F3}"/>
  <tableColumns count="3">
    <tableColumn id="1" xr3:uid="{CAEE65B9-22C7-4343-8266-C0DA764752E5}" uniqueName="1" name="US Dollar▲" queryTableFieldId="1" dataDxfId="0"/>
    <tableColumn id="2" xr3:uid="{846E8F3E-0D93-47D0-952F-FF99C2B42CC1}" uniqueName="2" name="1.00 USD▲▼" queryTableFieldId="2"/>
    <tableColumn id="3" xr3:uid="{50B59EB0-69B7-4600-B7A2-A06EDE4C8F25}" uniqueName="3" name="inv. 1.00 USD▲▼" queryTableField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13" Type="http://schemas.openxmlformats.org/officeDocument/2006/relationships/hyperlink" Target="https://www.tradingview.com/chart/?symbol=BA" TargetMode="External"/><Relationship Id="rId18" Type="http://schemas.openxmlformats.org/officeDocument/2006/relationships/hyperlink" Target="https://www.tradingview.com/chart/?symbol=LMT" TargetMode="External"/><Relationship Id="rId26" Type="http://schemas.openxmlformats.org/officeDocument/2006/relationships/hyperlink" Target="https://www.google.com/search?q=https://x.com/westerndigital" TargetMode="External"/><Relationship Id="rId39" Type="http://schemas.openxmlformats.org/officeDocument/2006/relationships/hyperlink" Target="https://www.google.com/search?q=https://www.invesco.com/qqq-etf/en/qqqm.html" TargetMode="External"/><Relationship Id="rId21" Type="http://schemas.openxmlformats.org/officeDocument/2006/relationships/hyperlink" Target="https://www.google.com/search?q=https://x.com/RTX_Corp" TargetMode="External"/><Relationship Id="rId34" Type="http://schemas.openxmlformats.org/officeDocument/2006/relationships/hyperlink" Target="https://ir.tesla.com/" TargetMode="External"/><Relationship Id="rId42" Type="http://schemas.openxmlformats.org/officeDocument/2006/relationships/hyperlink" Target="https://www.google.com/search?q=https://x.com/QQQ" TargetMode="External"/><Relationship Id="rId47" Type="http://schemas.openxmlformats.org/officeDocument/2006/relationships/hyperlink" Target="https://x.com/Newmont" TargetMode="External"/><Relationship Id="rId50" Type="http://schemas.openxmlformats.org/officeDocument/2006/relationships/hyperlink" Target="https://www.ishares.com/us/insights" TargetMode="External"/><Relationship Id="rId7" Type="http://schemas.openxmlformats.org/officeDocument/2006/relationships/hyperlink" Target="https://x.com/VisaNews" TargetMode="External"/><Relationship Id="rId2" Type="http://schemas.openxmlformats.org/officeDocument/2006/relationships/hyperlink" Target="https://www.jpmorganchase.com/ir/events" TargetMode="External"/><Relationship Id="rId16" Type="http://schemas.openxmlformats.org/officeDocument/2006/relationships/hyperlink" Target="https://x.com/LockheedMartin" TargetMode="External"/><Relationship Id="rId29" Type="http://schemas.openxmlformats.org/officeDocument/2006/relationships/hyperlink" Target="https://investors.seagate.com/" TargetMode="External"/><Relationship Id="rId11" Type="http://schemas.openxmlformats.org/officeDocument/2006/relationships/hyperlink" Target="https://x.com/Boeing" TargetMode="External"/><Relationship Id="rId24" Type="http://schemas.openxmlformats.org/officeDocument/2006/relationships/hyperlink" Target="https://investor.wdc.com/" TargetMode="External"/><Relationship Id="rId32" Type="http://schemas.openxmlformats.org/officeDocument/2006/relationships/hyperlink" Target="https://www.google.com/search?q=https://x.com/SeagateGaming" TargetMode="External"/><Relationship Id="rId37" Type="http://schemas.openxmlformats.org/officeDocument/2006/relationships/hyperlink" Target="https://x.com/elonmusk" TargetMode="External"/><Relationship Id="rId40" Type="http://schemas.openxmlformats.org/officeDocument/2006/relationships/hyperlink" Target="https://www.google.com/search?q=https://www.invesco.com/us/en/insights.html" TargetMode="External"/><Relationship Id="rId45" Type="http://schemas.openxmlformats.org/officeDocument/2006/relationships/hyperlink" Target="https://www.google.com/search?q=https://ir.newmont.com/events-and-presentations/" TargetMode="External"/><Relationship Id="rId53" Type="http://schemas.openxmlformats.org/officeDocument/2006/relationships/hyperlink" Target="https://www.tradingview.com/chart/?symbol=SLV" TargetMode="External"/><Relationship Id="rId5" Type="http://schemas.openxmlformats.org/officeDocument/2006/relationships/hyperlink" Target="https://investor.visa.com/events-calendar/" TargetMode="External"/><Relationship Id="rId10" Type="http://schemas.openxmlformats.org/officeDocument/2006/relationships/hyperlink" Target="https://www.google.com/search?q=https://investors.boeing.com/investors/events-and-presentations/" TargetMode="External"/><Relationship Id="rId19" Type="http://schemas.openxmlformats.org/officeDocument/2006/relationships/hyperlink" Target="https://investors.rtx.com/" TargetMode="External"/><Relationship Id="rId31" Type="http://schemas.openxmlformats.org/officeDocument/2006/relationships/hyperlink" Target="https://x.com/Seagate" TargetMode="External"/><Relationship Id="rId44" Type="http://schemas.openxmlformats.org/officeDocument/2006/relationships/hyperlink" Target="https://www.google.com/search?q=https://ir.newmont.com/" TargetMode="External"/><Relationship Id="rId52" Type="http://schemas.openxmlformats.org/officeDocument/2006/relationships/hyperlink" Target="https://x.com/BlackRock" TargetMode="External"/><Relationship Id="rId4" Type="http://schemas.openxmlformats.org/officeDocument/2006/relationships/hyperlink" Target="https://investor.visa.com/" TargetMode="External"/><Relationship Id="rId9" Type="http://schemas.openxmlformats.org/officeDocument/2006/relationships/hyperlink" Target="https://investors.boeing.com/" TargetMode="External"/><Relationship Id="rId14" Type="http://schemas.openxmlformats.org/officeDocument/2006/relationships/hyperlink" Target="https://investors.lockheedmartin.com/" TargetMode="External"/><Relationship Id="rId22" Type="http://schemas.openxmlformats.org/officeDocument/2006/relationships/hyperlink" Target="https://x.com/Raytheon" TargetMode="External"/><Relationship Id="rId27" Type="http://schemas.openxmlformats.org/officeDocument/2006/relationships/hyperlink" Target="https://x.com/SanDisk" TargetMode="External"/><Relationship Id="rId30" Type="http://schemas.openxmlformats.org/officeDocument/2006/relationships/hyperlink" Target="https://www.google.com/search?q=https://investors.seagate.com/events-and-presentations/" TargetMode="External"/><Relationship Id="rId35" Type="http://schemas.openxmlformats.org/officeDocument/2006/relationships/hyperlink" Target="https://www.google.com/search?q=https://ir.tesla.com/%23quarterly-disclosure" TargetMode="External"/><Relationship Id="rId43" Type="http://schemas.openxmlformats.org/officeDocument/2006/relationships/hyperlink" Target="https://www.google.com/search?q=https://www.tradingview.com/chart/%3Fsymbol%3DQQQM" TargetMode="External"/><Relationship Id="rId48" Type="http://schemas.openxmlformats.org/officeDocument/2006/relationships/hyperlink" Target="https://www.google.com/search?q=https://www.tradingview.com/chart/%3Fsymbol%3DNEM" TargetMode="External"/><Relationship Id="rId8" Type="http://schemas.openxmlformats.org/officeDocument/2006/relationships/hyperlink" Target="https://www.tradingview.com/chart/?symbol=V" TargetMode="External"/><Relationship Id="rId51" Type="http://schemas.openxmlformats.org/officeDocument/2006/relationships/hyperlink" Target="https://x.com/iShares" TargetMode="External"/><Relationship Id="rId3" Type="http://schemas.openxmlformats.org/officeDocument/2006/relationships/hyperlink" Target="https://www.tradingview.com/chart/?symbol=JPM" TargetMode="External"/><Relationship Id="rId12" Type="http://schemas.openxmlformats.org/officeDocument/2006/relationships/hyperlink" Target="https://x.com/BoeingAirplanes" TargetMode="External"/><Relationship Id="rId17" Type="http://schemas.openxmlformats.org/officeDocument/2006/relationships/hyperlink" Target="https://x.com/LMNews" TargetMode="External"/><Relationship Id="rId25" Type="http://schemas.openxmlformats.org/officeDocument/2006/relationships/hyperlink" Target="https://www.google.com/search?q=https://investor.wdc.com/events-and-presentations" TargetMode="External"/><Relationship Id="rId33" Type="http://schemas.openxmlformats.org/officeDocument/2006/relationships/hyperlink" Target="https://www.google.com/search?q=https://www.tradingview.com/chart/%3Fsymbol%3DSTX" TargetMode="External"/><Relationship Id="rId38" Type="http://schemas.openxmlformats.org/officeDocument/2006/relationships/hyperlink" Target="https://www.tradingview.com/chart/?symbol=TSLA" TargetMode="External"/><Relationship Id="rId46" Type="http://schemas.openxmlformats.org/officeDocument/2006/relationships/hyperlink" Target="https://x.com/NewmontCorp" TargetMode="External"/><Relationship Id="rId20" Type="http://schemas.openxmlformats.org/officeDocument/2006/relationships/hyperlink" Target="https://investors.rtx.com/events-and-presentations" TargetMode="External"/><Relationship Id="rId41" Type="http://schemas.openxmlformats.org/officeDocument/2006/relationships/hyperlink" Target="https://x.com/InvescoUS" TargetMode="External"/><Relationship Id="rId54" Type="http://schemas.openxmlformats.org/officeDocument/2006/relationships/drawing" Target="../drawings/drawing4.xml"/><Relationship Id="rId1" Type="http://schemas.openxmlformats.org/officeDocument/2006/relationships/hyperlink" Target="https://www.jpmorganchase.com/ir" TargetMode="External"/><Relationship Id="rId6" Type="http://schemas.openxmlformats.org/officeDocument/2006/relationships/hyperlink" Target="https://x.com/Visa" TargetMode="External"/><Relationship Id="rId15" Type="http://schemas.openxmlformats.org/officeDocument/2006/relationships/hyperlink" Target="https://www.google.com/search?q=https://investors.lockheedmartin.com/events-and-presentations" TargetMode="External"/><Relationship Id="rId23" Type="http://schemas.openxmlformats.org/officeDocument/2006/relationships/hyperlink" Target="https://www.tradingview.com/chart/?symbol=RTX" TargetMode="External"/><Relationship Id="rId28" Type="http://schemas.openxmlformats.org/officeDocument/2006/relationships/hyperlink" Target="https://www.google.com/search?q=https://www.tradingview.com/chart/%3Fsymbol%3DWDC" TargetMode="External"/><Relationship Id="rId36" Type="http://schemas.openxmlformats.org/officeDocument/2006/relationships/hyperlink" Target="https://x.com/Tesla" TargetMode="External"/><Relationship Id="rId49" Type="http://schemas.openxmlformats.org/officeDocument/2006/relationships/hyperlink" Target="https://www.ishares.com/us/products/239855/ishares-silver-trust-fund" TargetMode="Externa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
  <sheetViews>
    <sheetView workbookViewId="0"/>
  </sheetViews>
  <sheetFormatPr defaultRowHeight="14.4" x14ac:dyDescent="0.3"/>
  <cols>
    <col min="1" max="1" width="38.109375" bestFit="1" customWidth="1"/>
    <col min="2" max="3" width="10.21875" customWidth="1"/>
    <col min="4" max="4" width="13.5546875" bestFit="1" customWidth="1"/>
    <col min="5" max="5" width="12.33203125" customWidth="1"/>
    <col min="6" max="6" width="34.44140625" customWidth="1"/>
    <col min="7" max="7" width="23.6640625" customWidth="1"/>
    <col min="8" max="8" width="12.77734375" customWidth="1"/>
  </cols>
  <sheetData>
    <row r="1" spans="1:8" x14ac:dyDescent="0.3">
      <c r="A1" t="s">
        <v>0</v>
      </c>
      <c r="B1" t="s">
        <v>3</v>
      </c>
      <c r="C1" t="s">
        <v>69</v>
      </c>
      <c r="D1" t="s">
        <v>15</v>
      </c>
      <c r="E1" t="s">
        <v>9</v>
      </c>
      <c r="F1" t="s">
        <v>102</v>
      </c>
      <c r="G1" t="s">
        <v>1</v>
      </c>
      <c r="H1" t="s">
        <v>70</v>
      </c>
    </row>
    <row r="2" spans="1:8" ht="28.8" x14ac:dyDescent="0.3">
      <c r="A2" t="s">
        <v>2</v>
      </c>
      <c r="B2" t="s">
        <v>10</v>
      </c>
      <c r="C2" s="3">
        <f>D2/SUM($D$2:$D$10)*100</f>
        <v>21.725998628051475</v>
      </c>
      <c r="D2" s="3">
        <v>21410.9</v>
      </c>
      <c r="E2" s="2">
        <v>46025</v>
      </c>
      <c r="F2" s="2"/>
      <c r="G2" s="5" t="s">
        <v>120</v>
      </c>
      <c r="H2" t="s">
        <v>0</v>
      </c>
    </row>
    <row r="3" spans="1:8" ht="28.8" x14ac:dyDescent="0.3">
      <c r="A3" t="s">
        <v>2</v>
      </c>
      <c r="B3" t="s">
        <v>11</v>
      </c>
      <c r="C3" s="3">
        <f t="shared" ref="C3:C10" si="0">D3/SUM($D$2:$D$10)*100</f>
        <v>27.443379505539617</v>
      </c>
      <c r="D3" s="3">
        <v>27045.360000000001</v>
      </c>
      <c r="E3" s="2">
        <v>46025</v>
      </c>
      <c r="F3" s="2"/>
      <c r="G3" s="5" t="s">
        <v>120</v>
      </c>
      <c r="H3" t="s">
        <v>0</v>
      </c>
    </row>
    <row r="4" spans="1:8" ht="28.8" x14ac:dyDescent="0.3">
      <c r="A4" t="s">
        <v>5</v>
      </c>
      <c r="C4" s="3">
        <f t="shared" si="0"/>
        <v>9.1431863545179333</v>
      </c>
      <c r="D4" s="3">
        <v>9010.58</v>
      </c>
      <c r="E4" s="2">
        <v>46025</v>
      </c>
      <c r="F4" s="5" t="s">
        <v>104</v>
      </c>
    </row>
    <row r="5" spans="1:8" ht="43.2" x14ac:dyDescent="0.3">
      <c r="A5" t="s">
        <v>6</v>
      </c>
      <c r="C5" s="3">
        <f t="shared" si="0"/>
        <v>0.47766808409196382</v>
      </c>
      <c r="D5" s="3">
        <v>470.74032161999997</v>
      </c>
      <c r="E5" s="2">
        <v>46025</v>
      </c>
      <c r="F5" s="5" t="s">
        <v>105</v>
      </c>
    </row>
    <row r="6" spans="1:8" x14ac:dyDescent="0.3">
      <c r="A6" t="s">
        <v>7</v>
      </c>
      <c r="B6" t="s">
        <v>12</v>
      </c>
      <c r="C6" s="3">
        <f t="shared" si="0"/>
        <v>7.2120463094438785</v>
      </c>
      <c r="D6" s="3">
        <v>7107.4478540883993</v>
      </c>
      <c r="E6" s="2">
        <v>46025</v>
      </c>
      <c r="F6" s="2"/>
    </row>
    <row r="7" spans="1:8" x14ac:dyDescent="0.3">
      <c r="A7" t="s">
        <v>7</v>
      </c>
      <c r="B7" t="s">
        <v>13</v>
      </c>
      <c r="C7" s="3">
        <f t="shared" si="0"/>
        <v>7.1503139284042003</v>
      </c>
      <c r="D7" s="3">
        <v>7046.6107961546913</v>
      </c>
      <c r="E7" s="2">
        <v>46025</v>
      </c>
      <c r="F7" s="2"/>
    </row>
    <row r="8" spans="1:8" x14ac:dyDescent="0.3">
      <c r="A8" t="s">
        <v>7</v>
      </c>
      <c r="B8" t="s">
        <v>14</v>
      </c>
      <c r="C8" s="3">
        <f t="shared" si="0"/>
        <v>6.3842539851450555</v>
      </c>
      <c r="D8" s="3">
        <v>6291.661248383396</v>
      </c>
      <c r="E8" s="2">
        <v>46025</v>
      </c>
      <c r="F8" s="2"/>
    </row>
    <row r="9" spans="1:8" x14ac:dyDescent="0.3">
      <c r="A9" t="s">
        <v>4</v>
      </c>
      <c r="C9" s="3">
        <f t="shared" si="0"/>
        <v>17.826411758393462</v>
      </c>
      <c r="D9" s="3">
        <v>17567.87</v>
      </c>
      <c r="E9" s="2">
        <v>46025</v>
      </c>
      <c r="F9" s="2"/>
    </row>
    <row r="10" spans="1:8" ht="28.8" x14ac:dyDescent="0.3">
      <c r="A10" t="s">
        <v>8</v>
      </c>
      <c r="C10" s="3">
        <f t="shared" si="0"/>
        <v>2.6367414464124233</v>
      </c>
      <c r="D10" s="3">
        <v>2598.5</v>
      </c>
      <c r="E10" s="2">
        <v>46025</v>
      </c>
      <c r="F10" s="5" t="s">
        <v>103</v>
      </c>
    </row>
    <row r="11" spans="1:8" ht="72" x14ac:dyDescent="0.3">
      <c r="A11" t="s">
        <v>118</v>
      </c>
      <c r="F11" s="4" t="s">
        <v>119</v>
      </c>
    </row>
  </sheetData>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267CA-C6EC-4AC4-A66B-428E0ED28C44}">
  <dimension ref="A1:T25"/>
  <sheetViews>
    <sheetView workbookViewId="0"/>
  </sheetViews>
  <sheetFormatPr defaultRowHeight="14.4" x14ac:dyDescent="0.3"/>
  <cols>
    <col min="3" max="3" width="17" customWidth="1"/>
    <col min="5" max="6" width="18.77734375" customWidth="1"/>
    <col min="11" max="11" width="18.77734375" customWidth="1"/>
    <col min="16" max="16" width="11.109375" customWidth="1"/>
    <col min="17" max="17" width="15.109375" customWidth="1"/>
    <col min="18" max="18" width="14.5546875" customWidth="1"/>
  </cols>
  <sheetData>
    <row r="1" spans="1:20" s="4" customFormat="1" ht="47.4" customHeight="1" x14ac:dyDescent="0.3">
      <c r="A1" s="4" t="s">
        <v>3</v>
      </c>
      <c r="C1" s="4" t="s">
        <v>78</v>
      </c>
      <c r="D1" s="4" t="s">
        <v>71</v>
      </c>
      <c r="E1" s="4" t="s">
        <v>99</v>
      </c>
      <c r="F1" s="4" t="s">
        <v>89</v>
      </c>
      <c r="G1" s="4" t="s">
        <v>72</v>
      </c>
      <c r="H1" s="4" t="s">
        <v>73</v>
      </c>
      <c r="I1" s="4" t="s">
        <v>74</v>
      </c>
      <c r="J1" s="4" t="s">
        <v>75</v>
      </c>
      <c r="K1" s="4" t="s">
        <v>88</v>
      </c>
      <c r="L1" s="4" t="s">
        <v>72</v>
      </c>
      <c r="M1" s="4" t="s">
        <v>73</v>
      </c>
      <c r="N1" s="4" t="s">
        <v>74</v>
      </c>
      <c r="O1" s="4" t="s">
        <v>75</v>
      </c>
      <c r="P1" s="4" t="s">
        <v>106</v>
      </c>
      <c r="Q1" s="4" t="s">
        <v>76</v>
      </c>
      <c r="R1" s="4" t="s">
        <v>79</v>
      </c>
      <c r="S1" s="4" t="s">
        <v>121</v>
      </c>
      <c r="T1" s="4" t="s">
        <v>122</v>
      </c>
    </row>
    <row r="2" spans="1:20" x14ac:dyDescent="0.3">
      <c r="A2" t="s">
        <v>77</v>
      </c>
      <c r="E2" s="2"/>
      <c r="Q2" t="s">
        <v>0</v>
      </c>
    </row>
    <row r="3" spans="1:20" x14ac:dyDescent="0.3">
      <c r="A3" t="s">
        <v>80</v>
      </c>
      <c r="E3" s="2">
        <v>46027</v>
      </c>
      <c r="P3" t="s">
        <v>0</v>
      </c>
      <c r="R3" t="s">
        <v>0</v>
      </c>
    </row>
    <row r="4" spans="1:20" x14ac:dyDescent="0.3">
      <c r="A4" t="s">
        <v>81</v>
      </c>
      <c r="E4" s="2">
        <v>46027</v>
      </c>
      <c r="P4" t="s">
        <v>0</v>
      </c>
      <c r="R4" t="s">
        <v>0</v>
      </c>
    </row>
    <row r="5" spans="1:20" x14ac:dyDescent="0.3">
      <c r="A5" t="s">
        <v>10</v>
      </c>
      <c r="E5" s="2"/>
    </row>
    <row r="6" spans="1:20" x14ac:dyDescent="0.3">
      <c r="A6" t="s">
        <v>11</v>
      </c>
      <c r="E6" s="2"/>
    </row>
    <row r="7" spans="1:20" x14ac:dyDescent="0.3">
      <c r="A7" t="s">
        <v>12</v>
      </c>
      <c r="B7" t="s">
        <v>101</v>
      </c>
      <c r="E7" s="2"/>
    </row>
    <row r="8" spans="1:20" x14ac:dyDescent="0.3">
      <c r="A8" t="s">
        <v>13</v>
      </c>
      <c r="B8" t="s">
        <v>101</v>
      </c>
      <c r="E8" s="2"/>
    </row>
    <row r="9" spans="1:20" x14ac:dyDescent="0.3">
      <c r="A9" t="s">
        <v>14</v>
      </c>
      <c r="B9" t="s">
        <v>101</v>
      </c>
      <c r="E9" s="2"/>
    </row>
    <row r="10" spans="1:20" x14ac:dyDescent="0.3">
      <c r="A10" t="s">
        <v>98</v>
      </c>
      <c r="B10" t="s">
        <v>101</v>
      </c>
      <c r="E10" s="2">
        <v>46028</v>
      </c>
    </row>
    <row r="11" spans="1:20" x14ac:dyDescent="0.3">
      <c r="A11" t="s">
        <v>100</v>
      </c>
      <c r="B11" t="s">
        <v>101</v>
      </c>
      <c r="E11" s="2">
        <v>46055</v>
      </c>
    </row>
    <row r="12" spans="1:20" x14ac:dyDescent="0.3">
      <c r="A12" t="s">
        <v>91</v>
      </c>
      <c r="B12" t="s">
        <v>101</v>
      </c>
      <c r="E12" s="2"/>
    </row>
    <row r="13" spans="1:20" x14ac:dyDescent="0.3">
      <c r="E13" s="2"/>
    </row>
    <row r="14" spans="1:20" x14ac:dyDescent="0.3">
      <c r="E14" s="2"/>
    </row>
    <row r="15" spans="1:20" x14ac:dyDescent="0.3">
      <c r="E15" s="2"/>
    </row>
    <row r="16" spans="1:20" x14ac:dyDescent="0.3">
      <c r="E16" s="2"/>
    </row>
    <row r="17" spans="5:5" x14ac:dyDescent="0.3">
      <c r="E17" s="2"/>
    </row>
    <row r="18" spans="5:5" x14ac:dyDescent="0.3">
      <c r="E18" s="2"/>
    </row>
    <row r="19" spans="5:5" x14ac:dyDescent="0.3">
      <c r="E19" s="2"/>
    </row>
    <row r="20" spans="5:5" x14ac:dyDescent="0.3">
      <c r="E20" s="2"/>
    </row>
    <row r="21" spans="5:5" x14ac:dyDescent="0.3">
      <c r="E21" s="2"/>
    </row>
    <row r="22" spans="5:5" x14ac:dyDescent="0.3">
      <c r="E22" s="2"/>
    </row>
    <row r="23" spans="5:5" x14ac:dyDescent="0.3">
      <c r="E23" s="2"/>
    </row>
    <row r="24" spans="5:5" x14ac:dyDescent="0.3">
      <c r="E24" s="2"/>
    </row>
    <row r="25" spans="5:5" x14ac:dyDescent="0.3">
      <c r="E25"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35A22-D2F9-4E63-AB49-1B5369F68744}">
  <dimension ref="A1:V2"/>
  <sheetViews>
    <sheetView workbookViewId="0"/>
  </sheetViews>
  <sheetFormatPr defaultRowHeight="14.4" x14ac:dyDescent="0.3"/>
  <cols>
    <col min="2" max="2" width="17" customWidth="1"/>
    <col min="4" max="4" width="18.77734375" customWidth="1"/>
    <col min="9" max="9" width="18.77734375" customWidth="1"/>
    <col min="15" max="15" width="18.77734375" customWidth="1"/>
    <col min="20" max="20" width="11.109375" customWidth="1"/>
    <col min="21" max="21" width="15.109375" customWidth="1"/>
    <col min="22" max="22" width="14.5546875" customWidth="1"/>
  </cols>
  <sheetData>
    <row r="1" spans="1:22" s="4" customFormat="1" ht="47.4" customHeight="1" x14ac:dyDescent="0.3">
      <c r="A1" s="4" t="s">
        <v>3</v>
      </c>
      <c r="B1" s="4" t="s">
        <v>78</v>
      </c>
      <c r="C1" s="4" t="s">
        <v>71</v>
      </c>
      <c r="D1" s="4" t="s">
        <v>83</v>
      </c>
      <c r="E1" s="4" t="s">
        <v>95</v>
      </c>
      <c r="F1" s="4" t="s">
        <v>90</v>
      </c>
      <c r="G1" s="4" t="s">
        <v>96</v>
      </c>
      <c r="H1" s="4" t="s">
        <v>90</v>
      </c>
      <c r="I1" s="4" t="s">
        <v>89</v>
      </c>
      <c r="J1" s="4" t="s">
        <v>91</v>
      </c>
      <c r="K1" s="4" t="s">
        <v>92</v>
      </c>
      <c r="L1" s="4" t="s">
        <v>93</v>
      </c>
      <c r="M1" s="4" t="s">
        <v>94</v>
      </c>
      <c r="N1" s="4" t="s">
        <v>97</v>
      </c>
      <c r="O1" s="4" t="s">
        <v>88</v>
      </c>
      <c r="P1" s="4" t="s">
        <v>72</v>
      </c>
      <c r="Q1" s="4" t="s">
        <v>73</v>
      </c>
      <c r="R1" s="4" t="s">
        <v>74</v>
      </c>
      <c r="S1" s="4" t="s">
        <v>75</v>
      </c>
      <c r="T1" s="4" t="s">
        <v>82</v>
      </c>
      <c r="U1" s="4" t="s">
        <v>76</v>
      </c>
      <c r="V1" s="4" t="s">
        <v>79</v>
      </c>
    </row>
    <row r="2" spans="1:22" x14ac:dyDescent="0.3">
      <c r="A2" t="s">
        <v>77</v>
      </c>
      <c r="U2" t="s">
        <v>0</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B2043-4D08-4ED1-9686-9EFDF111454E}">
  <dimension ref="A1:O16"/>
  <sheetViews>
    <sheetView workbookViewId="0"/>
  </sheetViews>
  <sheetFormatPr defaultRowHeight="14.4" x14ac:dyDescent="0.3"/>
  <cols>
    <col min="1" max="2" width="10.88671875" bestFit="1" customWidth="1"/>
    <col min="6" max="6" width="9.88671875" bestFit="1" customWidth="1"/>
    <col min="7" max="7" width="13.109375" bestFit="1" customWidth="1"/>
    <col min="13" max="13" width="14" customWidth="1"/>
    <col min="14" max="14" width="14.88671875" customWidth="1"/>
    <col min="15" max="15" width="10.33203125" bestFit="1" customWidth="1"/>
  </cols>
  <sheetData>
    <row r="1" spans="1:15" x14ac:dyDescent="0.3">
      <c r="A1" t="str" cm="1">
        <f t="array" aca="1" ref="A1:F16" ca="1">_xlfn.STOCKHISTORY(L2, N3, N2, 0, 1, 0, 5, 2, 3, 4, 1)</f>
        <v>Date</v>
      </c>
      <c r="B1" t="str">
        <f ca="1"/>
        <v>Volume</v>
      </c>
      <c r="C1" t="str">
        <f ca="1"/>
        <v>Open</v>
      </c>
      <c r="D1" t="str">
        <f ca="1"/>
        <v>High</v>
      </c>
      <c r="E1" t="str">
        <f ca="1"/>
        <v>Low</v>
      </c>
      <c r="F1" t="str">
        <f ca="1"/>
        <v>Close</v>
      </c>
      <c r="G1" t="s">
        <v>117</v>
      </c>
      <c r="L1" t="s">
        <v>116</v>
      </c>
      <c r="M1" t="s">
        <v>115</v>
      </c>
      <c r="N1" t="s">
        <v>114</v>
      </c>
    </row>
    <row r="2" spans="1:15" x14ac:dyDescent="0.3">
      <c r="A2" vm="1">
        <f ca="1"/>
        <v>45936</v>
      </c>
      <c r="B2" vm="2">
        <f ca="1"/>
        <v>7214502</v>
      </c>
      <c r="C2" vm="3">
        <f ca="1"/>
        <v>310.18</v>
      </c>
      <c r="D2" vm="4">
        <f ca="1"/>
        <v>311.74740000000003</v>
      </c>
      <c r="E2" vm="5">
        <f ca="1"/>
        <v>305.13010000000003</v>
      </c>
      <c r="F2" vm="6">
        <f ca="1"/>
        <v>309.18</v>
      </c>
      <c r="G2">
        <f ca="1">C3-C2</f>
        <v>-0.82999999999998408</v>
      </c>
      <c r="L2" t="s">
        <v>98</v>
      </c>
      <c r="M2" s="7">
        <v>45944</v>
      </c>
      <c r="N2" s="1">
        <f>M2+10</f>
        <v>45954</v>
      </c>
      <c r="O2" s="6"/>
    </row>
    <row r="3" spans="1:15" x14ac:dyDescent="0.3">
      <c r="A3" vm="7">
        <f ca="1"/>
        <v>45937</v>
      </c>
      <c r="B3" vm="8">
        <f ca="1"/>
        <v>8454217</v>
      </c>
      <c r="C3" vm="9">
        <f ca="1"/>
        <v>309.35000000000002</v>
      </c>
      <c r="D3" vm="10">
        <f ca="1"/>
        <v>310.01</v>
      </c>
      <c r="E3" vm="11">
        <f ca="1"/>
        <v>304.7</v>
      </c>
      <c r="F3" vm="12">
        <f ca="1"/>
        <v>307.69</v>
      </c>
      <c r="G3">
        <f t="shared" ref="G3:G15" ca="1" si="0">C4-C3</f>
        <v>-1.1400000000000432</v>
      </c>
      <c r="N3" s="1">
        <f>M2-10</f>
        <v>45934</v>
      </c>
      <c r="O3" s="6"/>
    </row>
    <row r="4" spans="1:15" x14ac:dyDescent="0.3">
      <c r="A4" vm="13">
        <f ca="1"/>
        <v>45938</v>
      </c>
      <c r="B4" vm="14">
        <f ca="1"/>
        <v>6489883</v>
      </c>
      <c r="C4" vm="15">
        <f ca="1"/>
        <v>308.20999999999998</v>
      </c>
      <c r="D4" vm="16">
        <f ca="1"/>
        <v>308.78320000000002</v>
      </c>
      <c r="E4" vm="17">
        <f ca="1"/>
        <v>303.55</v>
      </c>
      <c r="F4" vm="18">
        <f ca="1"/>
        <v>304.02999999999997</v>
      </c>
      <c r="G4">
        <f t="shared" ca="1" si="0"/>
        <v>-3.1599999999999682</v>
      </c>
      <c r="M4" s="11"/>
    </row>
    <row r="5" spans="1:15" x14ac:dyDescent="0.3">
      <c r="A5" vm="19">
        <f ca="1"/>
        <v>45939</v>
      </c>
      <c r="B5" vm="20">
        <f ca="1"/>
        <v>7060332</v>
      </c>
      <c r="C5" vm="21">
        <f ca="1"/>
        <v>305.05</v>
      </c>
      <c r="D5" vm="22">
        <f ca="1"/>
        <v>308.03500000000003</v>
      </c>
      <c r="E5" vm="23">
        <f ca="1"/>
        <v>303.3947</v>
      </c>
      <c r="F5" vm="24">
        <f ca="1"/>
        <v>305.52999999999997</v>
      </c>
      <c r="G5">
        <f t="shared" ca="1" si="0"/>
        <v>0.61000000000001364</v>
      </c>
    </row>
    <row r="6" spans="1:15" x14ac:dyDescent="0.3">
      <c r="A6" vm="25">
        <f ca="1"/>
        <v>45940</v>
      </c>
      <c r="B6" vm="26">
        <f ca="1"/>
        <v>8597384</v>
      </c>
      <c r="C6" vm="27">
        <f ca="1"/>
        <v>305.66000000000003</v>
      </c>
      <c r="D6" vm="28">
        <f ca="1"/>
        <v>310.47000000000003</v>
      </c>
      <c r="E6" vm="29">
        <f ca="1"/>
        <v>300.81</v>
      </c>
      <c r="F6" vm="30">
        <f ca="1"/>
        <v>300.89</v>
      </c>
      <c r="G6">
        <f t="shared" ca="1" si="0"/>
        <v>-6.0000000000002274E-2</v>
      </c>
    </row>
    <row r="7" spans="1:15" x14ac:dyDescent="0.3">
      <c r="A7" vm="31">
        <f ca="1"/>
        <v>45943</v>
      </c>
      <c r="B7" vm="32">
        <f ca="1"/>
        <v>10788680</v>
      </c>
      <c r="C7" vm="33">
        <f ca="1"/>
        <v>305.60000000000002</v>
      </c>
      <c r="D7" vm="34">
        <f ca="1"/>
        <v>309.45999999999998</v>
      </c>
      <c r="E7" vm="35">
        <f ca="1"/>
        <v>305.45</v>
      </c>
      <c r="F7" vm="36">
        <f ca="1"/>
        <v>307.97000000000003</v>
      </c>
      <c r="G7">
        <f t="shared" ca="1" si="0"/>
        <v>0.23999999999995225</v>
      </c>
    </row>
    <row r="8" spans="1:15" x14ac:dyDescent="0.3">
      <c r="A8" vm="37">
        <f ca="1"/>
        <v>45944</v>
      </c>
      <c r="B8" vm="38">
        <f ca="1"/>
        <v>16178755</v>
      </c>
      <c r="C8" vm="39">
        <f ca="1"/>
        <v>305.83999999999997</v>
      </c>
      <c r="D8" vm="40">
        <f ca="1"/>
        <v>307</v>
      </c>
      <c r="E8" vm="41">
        <f ca="1"/>
        <v>294.20999999999998</v>
      </c>
      <c r="F8" vm="42">
        <f ca="1"/>
        <v>302.08</v>
      </c>
      <c r="G8">
        <f t="shared" ca="1" si="0"/>
        <v>0.55000000000001137</v>
      </c>
    </row>
    <row r="9" spans="1:15" x14ac:dyDescent="0.3">
      <c r="A9" vm="43">
        <f ca="1"/>
        <v>45945</v>
      </c>
      <c r="B9" vm="44">
        <f ca="1"/>
        <v>11354778</v>
      </c>
      <c r="C9" vm="45">
        <f ca="1"/>
        <v>306.39</v>
      </c>
      <c r="D9" vm="46">
        <f ca="1"/>
        <v>312.11989999999997</v>
      </c>
      <c r="E9" vm="47">
        <f ca="1"/>
        <v>305.44</v>
      </c>
      <c r="F9" vm="48">
        <f ca="1"/>
        <v>305.69</v>
      </c>
      <c r="G9">
        <f t="shared" ca="1" si="0"/>
        <v>-1.0399999999999636</v>
      </c>
    </row>
    <row r="10" spans="1:15" x14ac:dyDescent="0.3">
      <c r="A10" vm="49">
        <f ca="1"/>
        <v>45946</v>
      </c>
      <c r="B10" vm="50">
        <f ca="1"/>
        <v>10549447</v>
      </c>
      <c r="C10" vm="51">
        <f ca="1"/>
        <v>305.35000000000002</v>
      </c>
      <c r="D10" vm="52">
        <f ca="1"/>
        <v>308.67989999999998</v>
      </c>
      <c r="E10" vm="53">
        <f ca="1"/>
        <v>297.07</v>
      </c>
      <c r="F10" vm="54">
        <f ca="1"/>
        <v>298.54000000000002</v>
      </c>
      <c r="G10">
        <f t="shared" ca="1" si="0"/>
        <v>-6.1899999999999977</v>
      </c>
    </row>
    <row r="11" spans="1:15" x14ac:dyDescent="0.3">
      <c r="A11" vm="55">
        <f ca="1"/>
        <v>45947</v>
      </c>
      <c r="B11" vm="56">
        <f ca="1"/>
        <v>10153454</v>
      </c>
      <c r="C11" vm="57">
        <f ca="1"/>
        <v>299.16000000000003</v>
      </c>
      <c r="D11" vm="58">
        <f ca="1"/>
        <v>299.55</v>
      </c>
      <c r="E11" vm="59">
        <f ca="1"/>
        <v>294.2</v>
      </c>
      <c r="F11" vm="60">
        <f ca="1"/>
        <v>297.56</v>
      </c>
      <c r="G11">
        <f t="shared" ca="1" si="0"/>
        <v>-0.66000000000002501</v>
      </c>
    </row>
    <row r="12" spans="1:15" x14ac:dyDescent="0.3">
      <c r="A12" vm="61">
        <f ca="1"/>
        <v>45950</v>
      </c>
      <c r="B12" vm="62">
        <f ca="1"/>
        <v>6894943</v>
      </c>
      <c r="C12" vm="63">
        <f ca="1"/>
        <v>298.5</v>
      </c>
      <c r="D12" vm="64">
        <f ca="1"/>
        <v>303.69</v>
      </c>
      <c r="E12" vm="65">
        <f ca="1"/>
        <v>298.1601</v>
      </c>
      <c r="F12" vm="66">
        <f ca="1"/>
        <v>302.36</v>
      </c>
      <c r="G12">
        <f t="shared" ca="1" si="0"/>
        <v>3.160000000000025</v>
      </c>
    </row>
    <row r="13" spans="1:15" x14ac:dyDescent="0.3">
      <c r="A13" vm="67">
        <f ca="1"/>
        <v>45951</v>
      </c>
      <c r="B13" vm="68">
        <f ca="1"/>
        <v>7372671</v>
      </c>
      <c r="C13" vm="69">
        <f ca="1"/>
        <v>301.66000000000003</v>
      </c>
      <c r="D13" vm="70">
        <f ca="1"/>
        <v>304.05</v>
      </c>
      <c r="E13" vm="71">
        <f ca="1"/>
        <v>297</v>
      </c>
      <c r="F13" vm="72">
        <f ca="1"/>
        <v>297.08999999999997</v>
      </c>
      <c r="G13">
        <f t="shared" ca="1" si="0"/>
        <v>-3.8900000000000432</v>
      </c>
    </row>
    <row r="14" spans="1:15" x14ac:dyDescent="0.3">
      <c r="A14" vm="73">
        <f ca="1"/>
        <v>45952</v>
      </c>
      <c r="B14" vm="74">
        <f ca="1"/>
        <v>8054115</v>
      </c>
      <c r="C14" vm="75">
        <f ca="1"/>
        <v>297.77</v>
      </c>
      <c r="D14" vm="76">
        <f ca="1"/>
        <v>298.05990000000003</v>
      </c>
      <c r="E14" vm="77">
        <f ca="1"/>
        <v>290.54480000000001</v>
      </c>
      <c r="F14" vm="78">
        <f ca="1"/>
        <v>294.11</v>
      </c>
      <c r="G14">
        <f t="shared" ca="1" si="0"/>
        <v>-3.3899999999999864</v>
      </c>
    </row>
    <row r="15" spans="1:15" x14ac:dyDescent="0.3">
      <c r="A15" vm="79">
        <f ca="1"/>
        <v>45953</v>
      </c>
      <c r="B15" vm="80">
        <f ca="1"/>
        <v>5438810</v>
      </c>
      <c r="C15" vm="81">
        <f ca="1"/>
        <v>294.38</v>
      </c>
      <c r="D15" vm="82">
        <f ca="1"/>
        <v>296.36989999999997</v>
      </c>
      <c r="E15" vm="83">
        <f ca="1"/>
        <v>292.51</v>
      </c>
      <c r="F15" vm="84">
        <f ca="1"/>
        <v>294.54000000000002</v>
      </c>
      <c r="G15">
        <f t="shared" ca="1" si="0"/>
        <v>1.6999999999999886</v>
      </c>
    </row>
    <row r="16" spans="1:15" x14ac:dyDescent="0.3">
      <c r="A16" vm="85">
        <f ca="1"/>
        <v>45954</v>
      </c>
      <c r="B16" vm="86">
        <f ca="1"/>
        <v>7228330</v>
      </c>
      <c r="C16" vm="87">
        <f ca="1"/>
        <v>296.08</v>
      </c>
      <c r="D16" vm="88">
        <f ca="1"/>
        <v>302.60000000000002</v>
      </c>
      <c r="E16" vm="89">
        <f ca="1"/>
        <v>295.45</v>
      </c>
      <c r="F16" vm="90">
        <f ca="1"/>
        <v>300.44</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8AD8A-8A89-4E31-830E-18DAD32FE1A4}">
  <dimension ref="A1:O15"/>
  <sheetViews>
    <sheetView workbookViewId="0"/>
  </sheetViews>
  <sheetFormatPr defaultRowHeight="14.4" x14ac:dyDescent="0.3"/>
  <cols>
    <col min="1" max="1" width="11.44140625" customWidth="1"/>
    <col min="2" max="2" width="15.33203125" customWidth="1"/>
    <col min="3" max="6" width="11.44140625" customWidth="1"/>
    <col min="7" max="7" width="13.109375" bestFit="1" customWidth="1"/>
    <col min="13" max="13" width="14" customWidth="1"/>
    <col min="14" max="14" width="14.88671875" customWidth="1"/>
    <col min="15" max="15" width="10.33203125" bestFit="1" customWidth="1"/>
  </cols>
  <sheetData>
    <row r="1" spans="1:15" x14ac:dyDescent="0.3">
      <c r="A1" t="str" cm="1">
        <f t="array" aca="1" ref="A1:F15" ca="1">_xlfn.STOCKHISTORY(L2, N3, N2, 0, 1, 0, 5, 2, 3, 4, 1)</f>
        <v>Date</v>
      </c>
      <c r="B1" t="str">
        <f ca="1"/>
        <v>Volume</v>
      </c>
      <c r="C1" t="str">
        <f ca="1"/>
        <v>Open</v>
      </c>
      <c r="D1" t="str">
        <f ca="1"/>
        <v>High</v>
      </c>
      <c r="E1" t="str">
        <f ca="1"/>
        <v>Low</v>
      </c>
      <c r="F1" t="str">
        <f ca="1"/>
        <v>Close</v>
      </c>
      <c r="G1" t="s">
        <v>117</v>
      </c>
      <c r="L1" t="s">
        <v>116</v>
      </c>
      <c r="M1" t="s">
        <v>115</v>
      </c>
      <c r="N1" t="s">
        <v>114</v>
      </c>
    </row>
    <row r="2" spans="1:15" x14ac:dyDescent="0.3">
      <c r="A2" vm="91">
        <f ca="1"/>
        <v>45838</v>
      </c>
      <c r="B2" vm="92">
        <f ca="1"/>
        <v>58887780</v>
      </c>
      <c r="C2" vm="93">
        <f ca="1"/>
        <v>223.52</v>
      </c>
      <c r="D2" vm="94">
        <f ca="1"/>
        <v>223.82</v>
      </c>
      <c r="E2" vm="95">
        <f ca="1"/>
        <v>219.12</v>
      </c>
      <c r="F2" vm="96">
        <f ca="1"/>
        <v>219.39</v>
      </c>
      <c r="G2">
        <f ca="1">C3-C2</f>
        <v>-4.0200000000000102</v>
      </c>
      <c r="L2" t="s">
        <v>12</v>
      </c>
      <c r="M2" s="7">
        <v>45846</v>
      </c>
      <c r="N2" s="1">
        <f>M2+10</f>
        <v>45856</v>
      </c>
      <c r="O2" s="6"/>
    </row>
    <row r="3" spans="1:15" x14ac:dyDescent="0.3">
      <c r="A3" vm="97">
        <f ca="1"/>
        <v>45839</v>
      </c>
      <c r="B3" vm="98">
        <f ca="1"/>
        <v>39256830</v>
      </c>
      <c r="C3" vm="99">
        <f ca="1"/>
        <v>219.5</v>
      </c>
      <c r="D3" vm="100">
        <f ca="1"/>
        <v>221.875</v>
      </c>
      <c r="E3" vm="101">
        <f ca="1"/>
        <v>217.93</v>
      </c>
      <c r="F3" vm="102">
        <f ca="1"/>
        <v>220.46</v>
      </c>
      <c r="G3">
        <f t="shared" ref="G3:G15" ca="1" si="0">C4-C3</f>
        <v>0.22999999999998977</v>
      </c>
      <c r="N3" s="1">
        <f>M2-10</f>
        <v>45836</v>
      </c>
      <c r="O3" s="6"/>
    </row>
    <row r="4" spans="1:15" x14ac:dyDescent="0.3">
      <c r="A4" vm="103">
        <f ca="1"/>
        <v>45840</v>
      </c>
      <c r="B4" vm="104">
        <f ca="1"/>
        <v>30894178</v>
      </c>
      <c r="C4" vm="105">
        <f ca="1"/>
        <v>219.73</v>
      </c>
      <c r="D4" vm="106">
        <f ca="1"/>
        <v>221.6</v>
      </c>
      <c r="E4" vm="107">
        <f ca="1"/>
        <v>219.06</v>
      </c>
      <c r="F4" vm="108">
        <f ca="1"/>
        <v>219.92</v>
      </c>
      <c r="G4">
        <f t="shared" ca="1" si="0"/>
        <v>2.0900000000000034</v>
      </c>
      <c r="M4" s="11"/>
    </row>
    <row r="5" spans="1:15" x14ac:dyDescent="0.3">
      <c r="A5" vm="109">
        <f ca="1"/>
        <v>45841</v>
      </c>
      <c r="B5" vm="110">
        <f ca="1"/>
        <v>29632353</v>
      </c>
      <c r="C5" vm="111">
        <f ca="1"/>
        <v>221.82</v>
      </c>
      <c r="D5" vm="112">
        <f ca="1"/>
        <v>224.01</v>
      </c>
      <c r="E5" vm="113">
        <f ca="1"/>
        <v>221.36</v>
      </c>
      <c r="F5" vm="114">
        <f ca="1"/>
        <v>223.41</v>
      </c>
      <c r="G5">
        <f t="shared" ca="1" si="0"/>
        <v>1.1800000000000068</v>
      </c>
    </row>
    <row r="6" spans="1:15" x14ac:dyDescent="0.3">
      <c r="A6" vm="115">
        <f ca="1"/>
        <v>45845</v>
      </c>
      <c r="B6" vm="116">
        <f ca="1"/>
        <v>36604139</v>
      </c>
      <c r="C6" vm="117">
        <f ca="1"/>
        <v>223</v>
      </c>
      <c r="D6" vm="118">
        <f ca="1"/>
        <v>224.29</v>
      </c>
      <c r="E6" vm="119">
        <f ca="1"/>
        <v>222.37</v>
      </c>
      <c r="F6" vm="120">
        <f ca="1"/>
        <v>223.47</v>
      </c>
      <c r="G6">
        <f t="shared" ca="1" si="0"/>
        <v>0.91499999999999204</v>
      </c>
    </row>
    <row r="7" spans="1:15" x14ac:dyDescent="0.3">
      <c r="A7" vm="121">
        <f ca="1"/>
        <v>45846</v>
      </c>
      <c r="B7" vm="122">
        <f ca="1"/>
        <v>45691987</v>
      </c>
      <c r="C7" vm="123">
        <f ca="1"/>
        <v>223.91499999999999</v>
      </c>
      <c r="D7" vm="124">
        <f ca="1"/>
        <v>224</v>
      </c>
      <c r="E7" vm="125">
        <f ca="1"/>
        <v>218.43</v>
      </c>
      <c r="F7" vm="126">
        <f ca="1"/>
        <v>219.36</v>
      </c>
      <c r="G7">
        <f t="shared" ca="1" si="0"/>
        <v>-2.8449999999999989</v>
      </c>
    </row>
    <row r="8" spans="1:15" x14ac:dyDescent="0.3">
      <c r="A8" vm="127">
        <f ca="1"/>
        <v>45847</v>
      </c>
      <c r="B8" vm="128">
        <f ca="1"/>
        <v>38155121</v>
      </c>
      <c r="C8" vm="129">
        <f ca="1"/>
        <v>221.07</v>
      </c>
      <c r="D8" vm="118">
        <f ca="1"/>
        <v>224.29</v>
      </c>
      <c r="E8" vm="130">
        <f ca="1"/>
        <v>220.47</v>
      </c>
      <c r="F8" vm="131">
        <f ca="1"/>
        <v>222.54</v>
      </c>
      <c r="G8">
        <f t="shared" ca="1" si="0"/>
        <v>0.48000000000001819</v>
      </c>
    </row>
    <row r="9" spans="1:15" x14ac:dyDescent="0.3">
      <c r="A9" vm="132">
        <f ca="1"/>
        <v>45848</v>
      </c>
      <c r="B9" vm="133">
        <f ca="1"/>
        <v>30370591</v>
      </c>
      <c r="C9" vm="134">
        <f ca="1"/>
        <v>221.55</v>
      </c>
      <c r="D9" vm="135">
        <f ca="1"/>
        <v>222.79</v>
      </c>
      <c r="E9" vm="136">
        <f ca="1"/>
        <v>219.7</v>
      </c>
      <c r="F9" vm="137">
        <f ca="1"/>
        <v>222.26</v>
      </c>
      <c r="G9">
        <f t="shared" ca="1" si="0"/>
        <v>2.0300000000000011</v>
      </c>
    </row>
    <row r="10" spans="1:15" x14ac:dyDescent="0.3">
      <c r="A10" vm="138">
        <f ca="1"/>
        <v>45849</v>
      </c>
      <c r="B10" vm="139">
        <f ca="1"/>
        <v>50518307</v>
      </c>
      <c r="C10" vm="140">
        <f ca="1"/>
        <v>223.58</v>
      </c>
      <c r="D10" vm="141">
        <f ca="1"/>
        <v>226.6799</v>
      </c>
      <c r="E10" vm="119">
        <f ca="1"/>
        <v>222.37</v>
      </c>
      <c r="F10" vm="142">
        <f ca="1"/>
        <v>225.02</v>
      </c>
      <c r="G10">
        <f t="shared" ca="1" si="0"/>
        <v>1.4899999999999807</v>
      </c>
    </row>
    <row r="11" spans="1:15" x14ac:dyDescent="0.3">
      <c r="A11" vm="143">
        <f ca="1"/>
        <v>45852</v>
      </c>
      <c r="B11" vm="144">
        <f ca="1"/>
        <v>35702597</v>
      </c>
      <c r="C11" vm="145">
        <f ca="1"/>
        <v>225.07</v>
      </c>
      <c r="D11" vm="146">
        <f ca="1"/>
        <v>226.66</v>
      </c>
      <c r="E11" vm="147">
        <f ca="1"/>
        <v>224.24</v>
      </c>
      <c r="F11" vm="148">
        <f ca="1"/>
        <v>225.69</v>
      </c>
      <c r="G11">
        <f t="shared" ca="1" si="0"/>
        <v>1.1299999999999955</v>
      </c>
    </row>
    <row r="12" spans="1:15" x14ac:dyDescent="0.3">
      <c r="A12" vm="149">
        <f ca="1"/>
        <v>45853</v>
      </c>
      <c r="B12" vm="150">
        <f ca="1"/>
        <v>34907294</v>
      </c>
      <c r="C12" vm="151">
        <f ca="1"/>
        <v>226.2</v>
      </c>
      <c r="D12" vm="152">
        <f ca="1"/>
        <v>227.27</v>
      </c>
      <c r="E12" vm="153">
        <f ca="1"/>
        <v>225.45500000000001</v>
      </c>
      <c r="F12" vm="154">
        <f ca="1"/>
        <v>226.35</v>
      </c>
      <c r="G12">
        <f t="shared" ca="1" si="0"/>
        <v>-0.32499999999998863</v>
      </c>
    </row>
    <row r="13" spans="1:15" x14ac:dyDescent="0.3">
      <c r="A13" vm="155">
        <f ca="1"/>
        <v>45854</v>
      </c>
      <c r="B13" vm="156">
        <f ca="1"/>
        <v>39535926</v>
      </c>
      <c r="C13" vm="157">
        <f ca="1"/>
        <v>225.875</v>
      </c>
      <c r="D13" vm="158">
        <f ca="1"/>
        <v>226.1</v>
      </c>
      <c r="E13" vm="159">
        <f ca="1"/>
        <v>222.18</v>
      </c>
      <c r="F13" vm="160">
        <f ca="1"/>
        <v>223.19</v>
      </c>
      <c r="G13">
        <f t="shared" ca="1" si="0"/>
        <v>-2.5550000000000068</v>
      </c>
    </row>
    <row r="14" spans="1:15" x14ac:dyDescent="0.3">
      <c r="A14" vm="161">
        <f ca="1"/>
        <v>45855</v>
      </c>
      <c r="B14" vm="162">
        <f ca="1"/>
        <v>31855831</v>
      </c>
      <c r="C14" vm="163">
        <f ca="1"/>
        <v>223.32</v>
      </c>
      <c r="D14" vm="164">
        <f ca="1"/>
        <v>224.5</v>
      </c>
      <c r="E14" vm="165">
        <f ca="1"/>
        <v>222.51</v>
      </c>
      <c r="F14" vm="166">
        <f ca="1"/>
        <v>223.88</v>
      </c>
      <c r="G14">
        <f t="shared" ca="1" si="0"/>
        <v>1.8199999999999932</v>
      </c>
    </row>
    <row r="15" spans="1:15" x14ac:dyDescent="0.3">
      <c r="A15" vm="167">
        <f ca="1"/>
        <v>45856</v>
      </c>
      <c r="B15" vm="168">
        <f ca="1"/>
        <v>37833807</v>
      </c>
      <c r="C15" vm="169">
        <f ca="1"/>
        <v>225.14</v>
      </c>
      <c r="D15" vm="170">
        <f ca="1"/>
        <v>226.4</v>
      </c>
      <c r="E15" vm="171">
        <f ca="1"/>
        <v>222.98</v>
      </c>
      <c r="F15" vm="172">
        <f ca="1"/>
        <v>226.13</v>
      </c>
      <c r="G15">
        <f t="shared" ca="1" si="0"/>
        <v>-225.14</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98353-D3EE-4185-A642-D090C599DF9B}">
  <dimension ref="A1:V45"/>
  <sheetViews>
    <sheetView workbookViewId="0"/>
  </sheetViews>
  <sheetFormatPr defaultRowHeight="14.4" x14ac:dyDescent="0.3"/>
  <cols>
    <col min="1" max="1" width="37.77734375" bestFit="1" customWidth="1"/>
    <col min="2" max="2" width="17.77734375" bestFit="1" customWidth="1"/>
    <col min="3" max="3" width="17.109375" bestFit="1" customWidth="1"/>
    <col min="4" max="5" width="18" bestFit="1" customWidth="1"/>
    <col min="6" max="6" width="17.77734375" bestFit="1" customWidth="1"/>
    <col min="7" max="7" width="17.109375" bestFit="1" customWidth="1"/>
    <col min="8" max="9" width="18" bestFit="1" customWidth="1"/>
    <col min="10" max="10" width="17.77734375" bestFit="1" customWidth="1"/>
    <col min="11" max="11" width="17.109375" bestFit="1" customWidth="1"/>
    <col min="12" max="13" width="18" bestFit="1" customWidth="1"/>
    <col min="14" max="14" width="17.77734375" bestFit="1" customWidth="1"/>
    <col min="15" max="15" width="17.109375" bestFit="1" customWidth="1"/>
    <col min="16" max="17" width="18" bestFit="1" customWidth="1"/>
    <col min="18" max="18" width="17.77734375" bestFit="1" customWidth="1"/>
    <col min="19" max="19" width="17.109375" bestFit="1" customWidth="1"/>
    <col min="20" max="21" width="18" bestFit="1" customWidth="1"/>
    <col min="22" max="22" width="12.21875" bestFit="1" customWidth="1"/>
  </cols>
  <sheetData>
    <row r="1" spans="1:22" x14ac:dyDescent="0.3">
      <c r="A1" t="s">
        <v>165</v>
      </c>
      <c r="B1" t="s">
        <v>166</v>
      </c>
      <c r="C1" t="s">
        <v>167</v>
      </c>
      <c r="D1" t="s">
        <v>168</v>
      </c>
      <c r="E1" t="s">
        <v>169</v>
      </c>
      <c r="F1" t="s">
        <v>170</v>
      </c>
      <c r="G1" t="s">
        <v>171</v>
      </c>
      <c r="H1" t="s">
        <v>172</v>
      </c>
      <c r="I1" t="s">
        <v>173</v>
      </c>
      <c r="J1" t="s">
        <v>174</v>
      </c>
      <c r="K1" t="s">
        <v>175</v>
      </c>
      <c r="L1" t="s">
        <v>176</v>
      </c>
      <c r="M1" t="s">
        <v>177</v>
      </c>
      <c r="N1" t="s">
        <v>178</v>
      </c>
      <c r="O1" t="s">
        <v>179</v>
      </c>
      <c r="P1" t="s">
        <v>180</v>
      </c>
      <c r="Q1" t="s">
        <v>181</v>
      </c>
      <c r="R1" t="s">
        <v>182</v>
      </c>
      <c r="S1" t="s">
        <v>183</v>
      </c>
      <c r="T1" t="s">
        <v>184</v>
      </c>
      <c r="U1" t="s">
        <v>185</v>
      </c>
      <c r="V1" t="s">
        <v>186</v>
      </c>
    </row>
    <row r="2" spans="1:22" x14ac:dyDescent="0.3">
      <c r="A2" t="s">
        <v>187</v>
      </c>
      <c r="B2" t="s">
        <v>188</v>
      </c>
      <c r="C2" t="s">
        <v>189</v>
      </c>
      <c r="D2" t="s">
        <v>190</v>
      </c>
      <c r="E2" t="s">
        <v>191</v>
      </c>
      <c r="F2" t="s">
        <v>192</v>
      </c>
      <c r="G2" t="s">
        <v>193</v>
      </c>
      <c r="H2" t="s">
        <v>194</v>
      </c>
      <c r="I2" t="s">
        <v>195</v>
      </c>
      <c r="J2" t="s">
        <v>196</v>
      </c>
      <c r="K2" t="s">
        <v>197</v>
      </c>
      <c r="L2" t="s">
        <v>198</v>
      </c>
      <c r="M2" t="s">
        <v>199</v>
      </c>
      <c r="N2" t="s">
        <v>200</v>
      </c>
      <c r="O2" t="s">
        <v>201</v>
      </c>
      <c r="P2" t="s">
        <v>202</v>
      </c>
      <c r="Q2" t="s">
        <v>203</v>
      </c>
      <c r="R2" t="s">
        <v>204</v>
      </c>
      <c r="S2" t="s">
        <v>205</v>
      </c>
      <c r="T2" t="s">
        <v>206</v>
      </c>
      <c r="U2" t="s">
        <v>207</v>
      </c>
      <c r="V2" t="s">
        <v>208</v>
      </c>
    </row>
    <row r="3" spans="1:22" x14ac:dyDescent="0.3">
      <c r="A3" t="s">
        <v>209</v>
      </c>
      <c r="B3" t="s">
        <v>210</v>
      </c>
      <c r="C3" t="s">
        <v>211</v>
      </c>
      <c r="D3" t="s">
        <v>212</v>
      </c>
      <c r="E3" t="s">
        <v>213</v>
      </c>
      <c r="F3" t="s">
        <v>214</v>
      </c>
      <c r="G3" t="s">
        <v>215</v>
      </c>
      <c r="H3" t="s">
        <v>216</v>
      </c>
      <c r="I3" t="s">
        <v>217</v>
      </c>
      <c r="J3" t="s">
        <v>218</v>
      </c>
      <c r="K3" t="s">
        <v>219</v>
      </c>
      <c r="L3" t="s">
        <v>220</v>
      </c>
      <c r="M3" t="s">
        <v>221</v>
      </c>
      <c r="N3" t="s">
        <v>222</v>
      </c>
      <c r="O3" t="s">
        <v>223</v>
      </c>
      <c r="P3" t="s">
        <v>224</v>
      </c>
      <c r="Q3" t="s">
        <v>225</v>
      </c>
      <c r="R3" t="s">
        <v>226</v>
      </c>
      <c r="S3" t="s">
        <v>227</v>
      </c>
      <c r="T3" t="s">
        <v>228</v>
      </c>
      <c r="U3" t="s">
        <v>229</v>
      </c>
      <c r="V3" t="s">
        <v>208</v>
      </c>
    </row>
    <row r="4" spans="1:22" x14ac:dyDescent="0.3">
      <c r="A4" t="s">
        <v>230</v>
      </c>
      <c r="B4" t="s">
        <v>231</v>
      </c>
      <c r="C4" t="s">
        <v>232</v>
      </c>
      <c r="D4" t="s">
        <v>233</v>
      </c>
      <c r="E4" t="s">
        <v>234</v>
      </c>
      <c r="F4" t="s">
        <v>235</v>
      </c>
      <c r="G4" t="s">
        <v>236</v>
      </c>
      <c r="H4" t="s">
        <v>237</v>
      </c>
      <c r="I4" t="s">
        <v>238</v>
      </c>
      <c r="J4" t="s">
        <v>239</v>
      </c>
      <c r="K4" t="s">
        <v>240</v>
      </c>
      <c r="L4" t="s">
        <v>241</v>
      </c>
      <c r="M4" t="s">
        <v>242</v>
      </c>
      <c r="N4" t="s">
        <v>243</v>
      </c>
      <c r="O4" t="s">
        <v>244</v>
      </c>
      <c r="P4" t="s">
        <v>245</v>
      </c>
      <c r="Q4" t="s">
        <v>246</v>
      </c>
      <c r="R4" t="s">
        <v>247</v>
      </c>
      <c r="S4" t="s">
        <v>248</v>
      </c>
      <c r="T4" t="s">
        <v>249</v>
      </c>
      <c r="U4" t="s">
        <v>250</v>
      </c>
      <c r="V4" t="s">
        <v>251</v>
      </c>
    </row>
    <row r="5" spans="1:22" x14ac:dyDescent="0.3">
      <c r="A5" t="s">
        <v>252</v>
      </c>
      <c r="B5" t="s">
        <v>253</v>
      </c>
      <c r="C5" t="s">
        <v>254</v>
      </c>
      <c r="D5" t="s">
        <v>255</v>
      </c>
      <c r="E5" t="s">
        <v>256</v>
      </c>
      <c r="F5" t="s">
        <v>257</v>
      </c>
      <c r="G5" t="s">
        <v>258</v>
      </c>
      <c r="H5" t="s">
        <v>259</v>
      </c>
      <c r="I5" t="s">
        <v>260</v>
      </c>
      <c r="J5" t="s">
        <v>261</v>
      </c>
      <c r="K5" t="s">
        <v>262</v>
      </c>
      <c r="L5" t="s">
        <v>263</v>
      </c>
      <c r="M5" t="s">
        <v>264</v>
      </c>
      <c r="N5" t="s">
        <v>265</v>
      </c>
      <c r="O5" t="s">
        <v>266</v>
      </c>
      <c r="P5" t="s">
        <v>267</v>
      </c>
      <c r="Q5" t="s">
        <v>268</v>
      </c>
      <c r="R5" t="s">
        <v>269</v>
      </c>
      <c r="S5" t="s">
        <v>270</v>
      </c>
      <c r="T5" t="s">
        <v>271</v>
      </c>
      <c r="U5" t="s">
        <v>272</v>
      </c>
      <c r="V5" t="s">
        <v>251</v>
      </c>
    </row>
    <row r="6" spans="1:22" x14ac:dyDescent="0.3">
      <c r="A6" t="s">
        <v>273</v>
      </c>
      <c r="B6" t="s">
        <v>274</v>
      </c>
      <c r="C6" t="s">
        <v>275</v>
      </c>
      <c r="D6" t="s">
        <v>276</v>
      </c>
      <c r="E6" t="s">
        <v>277</v>
      </c>
      <c r="F6" t="s">
        <v>278</v>
      </c>
      <c r="G6" t="s">
        <v>279</v>
      </c>
      <c r="H6" t="s">
        <v>280</v>
      </c>
      <c r="I6" t="s">
        <v>281</v>
      </c>
      <c r="J6" t="s">
        <v>282</v>
      </c>
      <c r="K6" t="s">
        <v>283</v>
      </c>
      <c r="L6" t="s">
        <v>284</v>
      </c>
      <c r="M6" t="s">
        <v>285</v>
      </c>
      <c r="N6" t="s">
        <v>286</v>
      </c>
      <c r="O6" t="s">
        <v>287</v>
      </c>
      <c r="P6" t="s">
        <v>288</v>
      </c>
      <c r="Q6" t="s">
        <v>289</v>
      </c>
      <c r="R6" t="s">
        <v>290</v>
      </c>
      <c r="S6" t="s">
        <v>291</v>
      </c>
      <c r="T6" t="s">
        <v>292</v>
      </c>
      <c r="U6" t="s">
        <v>293</v>
      </c>
      <c r="V6" t="s">
        <v>251</v>
      </c>
    </row>
    <row r="7" spans="1:22" x14ac:dyDescent="0.3">
      <c r="A7" t="s">
        <v>294</v>
      </c>
      <c r="B7" t="s">
        <v>295</v>
      </c>
      <c r="C7" t="s">
        <v>296</v>
      </c>
      <c r="D7" t="s">
        <v>297</v>
      </c>
      <c r="E7" t="s">
        <v>298</v>
      </c>
      <c r="F7" t="s">
        <v>299</v>
      </c>
      <c r="G7" t="s">
        <v>300</v>
      </c>
      <c r="H7" t="s">
        <v>301</v>
      </c>
      <c r="I7" t="s">
        <v>302</v>
      </c>
      <c r="J7" t="s">
        <v>303</v>
      </c>
      <c r="K7" t="s">
        <v>304</v>
      </c>
      <c r="L7" t="s">
        <v>305</v>
      </c>
      <c r="M7" t="s">
        <v>306</v>
      </c>
      <c r="N7" t="s">
        <v>307</v>
      </c>
      <c r="O7" t="s">
        <v>308</v>
      </c>
      <c r="P7" t="s">
        <v>309</v>
      </c>
      <c r="Q7" t="s">
        <v>310</v>
      </c>
      <c r="R7" t="s">
        <v>311</v>
      </c>
      <c r="S7" t="s">
        <v>312</v>
      </c>
      <c r="T7" t="s">
        <v>313</v>
      </c>
      <c r="U7" t="s">
        <v>314</v>
      </c>
      <c r="V7" t="s">
        <v>251</v>
      </c>
    </row>
    <row r="8" spans="1:22" x14ac:dyDescent="0.3">
      <c r="A8" t="s">
        <v>315</v>
      </c>
      <c r="B8" t="s">
        <v>316</v>
      </c>
      <c r="C8" t="s">
        <v>317</v>
      </c>
      <c r="D8" t="s">
        <v>318</v>
      </c>
      <c r="E8" t="s">
        <v>319</v>
      </c>
      <c r="F8" t="s">
        <v>320</v>
      </c>
      <c r="G8" t="s">
        <v>321</v>
      </c>
      <c r="H8" t="s">
        <v>322</v>
      </c>
      <c r="I8" t="s">
        <v>323</v>
      </c>
      <c r="J8" t="s">
        <v>324</v>
      </c>
      <c r="K8" t="s">
        <v>325</v>
      </c>
      <c r="L8" t="s">
        <v>326</v>
      </c>
      <c r="M8" t="s">
        <v>327</v>
      </c>
      <c r="N8" t="s">
        <v>328</v>
      </c>
      <c r="O8" t="s">
        <v>329</v>
      </c>
      <c r="P8" t="s">
        <v>330</v>
      </c>
      <c r="Q8" t="s">
        <v>331</v>
      </c>
      <c r="R8" t="s">
        <v>332</v>
      </c>
      <c r="S8" t="s">
        <v>333</v>
      </c>
      <c r="T8" t="s">
        <v>334</v>
      </c>
      <c r="U8" t="s">
        <v>335</v>
      </c>
      <c r="V8" t="s">
        <v>251</v>
      </c>
    </row>
    <row r="9" spans="1:22" x14ac:dyDescent="0.3">
      <c r="A9" t="s">
        <v>336</v>
      </c>
      <c r="B9" t="s">
        <v>337</v>
      </c>
      <c r="C9" t="s">
        <v>338</v>
      </c>
      <c r="D9" t="s">
        <v>339</v>
      </c>
      <c r="E9" t="s">
        <v>340</v>
      </c>
      <c r="F9" t="s">
        <v>341</v>
      </c>
      <c r="G9" t="s">
        <v>342</v>
      </c>
      <c r="H9" t="s">
        <v>343</v>
      </c>
      <c r="I9" t="s">
        <v>344</v>
      </c>
      <c r="J9" t="s">
        <v>345</v>
      </c>
      <c r="K9" t="s">
        <v>346</v>
      </c>
      <c r="L9" t="s">
        <v>347</v>
      </c>
      <c r="M9" t="s">
        <v>348</v>
      </c>
      <c r="N9" t="s">
        <v>349</v>
      </c>
      <c r="O9" t="s">
        <v>350</v>
      </c>
      <c r="P9" t="s">
        <v>351</v>
      </c>
      <c r="Q9" t="s">
        <v>352</v>
      </c>
      <c r="R9" t="s">
        <v>353</v>
      </c>
      <c r="S9" t="s">
        <v>354</v>
      </c>
      <c r="T9" t="s">
        <v>355</v>
      </c>
      <c r="U9" t="s">
        <v>356</v>
      </c>
      <c r="V9" t="s">
        <v>251</v>
      </c>
    </row>
    <row r="10" spans="1:22" x14ac:dyDescent="0.3">
      <c r="A10" t="s">
        <v>357</v>
      </c>
      <c r="B10" t="s">
        <v>358</v>
      </c>
      <c r="C10" t="s">
        <v>359</v>
      </c>
      <c r="D10" t="s">
        <v>360</v>
      </c>
      <c r="E10" t="s">
        <v>361</v>
      </c>
      <c r="F10" t="s">
        <v>362</v>
      </c>
      <c r="G10" t="s">
        <v>363</v>
      </c>
      <c r="H10" t="s">
        <v>364</v>
      </c>
      <c r="I10" t="s">
        <v>365</v>
      </c>
      <c r="J10" t="s">
        <v>366</v>
      </c>
      <c r="K10" t="s">
        <v>367</v>
      </c>
      <c r="L10" t="s">
        <v>368</v>
      </c>
      <c r="M10" t="s">
        <v>369</v>
      </c>
      <c r="N10" t="s">
        <v>370</v>
      </c>
      <c r="O10" t="s">
        <v>371</v>
      </c>
      <c r="P10" t="s">
        <v>372</v>
      </c>
      <c r="Q10" t="s">
        <v>373</v>
      </c>
      <c r="R10" t="s">
        <v>374</v>
      </c>
      <c r="S10" t="s">
        <v>375</v>
      </c>
      <c r="T10" t="s">
        <v>376</v>
      </c>
      <c r="U10" t="s">
        <v>377</v>
      </c>
      <c r="V10" t="s">
        <v>251</v>
      </c>
    </row>
    <row r="11" spans="1:22" x14ac:dyDescent="0.3">
      <c r="A11" t="s">
        <v>378</v>
      </c>
      <c r="B11" t="s">
        <v>379</v>
      </c>
      <c r="C11" t="s">
        <v>380</v>
      </c>
      <c r="D11" t="s">
        <v>381</v>
      </c>
      <c r="E11" t="s">
        <v>382</v>
      </c>
      <c r="F11" t="s">
        <v>383</v>
      </c>
      <c r="G11" t="s">
        <v>384</v>
      </c>
      <c r="H11" t="s">
        <v>385</v>
      </c>
      <c r="I11" t="s">
        <v>386</v>
      </c>
      <c r="J11" t="s">
        <v>387</v>
      </c>
      <c r="K11" t="s">
        <v>388</v>
      </c>
      <c r="L11" t="s">
        <v>389</v>
      </c>
      <c r="M11" t="s">
        <v>390</v>
      </c>
      <c r="N11" t="s">
        <v>391</v>
      </c>
      <c r="O11" t="s">
        <v>392</v>
      </c>
      <c r="P11" t="s">
        <v>393</v>
      </c>
      <c r="Q11" t="s">
        <v>394</v>
      </c>
      <c r="R11" t="s">
        <v>395</v>
      </c>
      <c r="S11" t="s">
        <v>396</v>
      </c>
      <c r="T11" t="s">
        <v>397</v>
      </c>
      <c r="U11" t="s">
        <v>398</v>
      </c>
      <c r="V11" t="s">
        <v>251</v>
      </c>
    </row>
    <row r="12" spans="1:22" x14ac:dyDescent="0.3">
      <c r="A12" t="s">
        <v>399</v>
      </c>
      <c r="B12" t="s">
        <v>400</v>
      </c>
      <c r="C12" t="s">
        <v>401</v>
      </c>
      <c r="D12" t="s">
        <v>402</v>
      </c>
      <c r="E12" t="s">
        <v>403</v>
      </c>
      <c r="F12" t="s">
        <v>404</v>
      </c>
      <c r="G12" t="s">
        <v>405</v>
      </c>
      <c r="H12" t="s">
        <v>406</v>
      </c>
      <c r="I12" t="s">
        <v>407</v>
      </c>
      <c r="J12" t="s">
        <v>408</v>
      </c>
      <c r="K12" t="s">
        <v>409</v>
      </c>
      <c r="L12" t="s">
        <v>410</v>
      </c>
      <c r="M12" t="s">
        <v>411</v>
      </c>
      <c r="N12" t="s">
        <v>412</v>
      </c>
      <c r="O12" t="s">
        <v>413</v>
      </c>
      <c r="P12" t="s">
        <v>414</v>
      </c>
      <c r="Q12" t="s">
        <v>414</v>
      </c>
      <c r="R12" t="s">
        <v>415</v>
      </c>
      <c r="S12" t="s">
        <v>414</v>
      </c>
      <c r="T12" t="s">
        <v>416</v>
      </c>
      <c r="U12" t="s">
        <v>417</v>
      </c>
      <c r="V12" t="s">
        <v>251</v>
      </c>
    </row>
    <row r="13" spans="1:22" x14ac:dyDescent="0.3">
      <c r="A13" t="s">
        <v>418</v>
      </c>
      <c r="B13" t="s">
        <v>419</v>
      </c>
      <c r="C13" t="s">
        <v>420</v>
      </c>
      <c r="D13" t="s">
        <v>421</v>
      </c>
      <c r="E13" t="s">
        <v>422</v>
      </c>
      <c r="F13" t="s">
        <v>423</v>
      </c>
      <c r="G13" t="s">
        <v>424</v>
      </c>
      <c r="H13" t="s">
        <v>425</v>
      </c>
      <c r="I13" t="s">
        <v>426</v>
      </c>
      <c r="J13" t="s">
        <v>427</v>
      </c>
      <c r="K13" t="s">
        <v>428</v>
      </c>
      <c r="L13" t="s">
        <v>429</v>
      </c>
      <c r="M13" t="s">
        <v>430</v>
      </c>
      <c r="N13" t="s">
        <v>431</v>
      </c>
      <c r="O13" t="s">
        <v>432</v>
      </c>
      <c r="P13" t="s">
        <v>433</v>
      </c>
      <c r="Q13" t="s">
        <v>434</v>
      </c>
      <c r="R13" t="s">
        <v>435</v>
      </c>
      <c r="S13" t="s">
        <v>436</v>
      </c>
      <c r="T13" t="s">
        <v>436</v>
      </c>
      <c r="U13" t="s">
        <v>436</v>
      </c>
      <c r="V13" t="s">
        <v>251</v>
      </c>
    </row>
    <row r="14" spans="1:22" x14ac:dyDescent="0.3">
      <c r="A14" t="s">
        <v>437</v>
      </c>
      <c r="B14" t="s">
        <v>436</v>
      </c>
      <c r="C14" t="s">
        <v>436</v>
      </c>
      <c r="D14" t="s">
        <v>436</v>
      </c>
      <c r="E14" t="s">
        <v>438</v>
      </c>
      <c r="F14" t="s">
        <v>436</v>
      </c>
      <c r="G14" t="s">
        <v>436</v>
      </c>
      <c r="H14" t="s">
        <v>436</v>
      </c>
      <c r="I14" t="s">
        <v>436</v>
      </c>
      <c r="J14" t="s">
        <v>436</v>
      </c>
      <c r="K14" t="s">
        <v>436</v>
      </c>
      <c r="L14" t="s">
        <v>436</v>
      </c>
      <c r="M14" t="s">
        <v>436</v>
      </c>
      <c r="N14" t="s">
        <v>436</v>
      </c>
      <c r="O14" t="s">
        <v>436</v>
      </c>
      <c r="P14" t="s">
        <v>436</v>
      </c>
      <c r="Q14" t="s">
        <v>436</v>
      </c>
      <c r="R14" t="s">
        <v>436</v>
      </c>
      <c r="S14" t="s">
        <v>436</v>
      </c>
      <c r="T14" t="s">
        <v>436</v>
      </c>
      <c r="U14" t="s">
        <v>436</v>
      </c>
      <c r="V14" t="s">
        <v>251</v>
      </c>
    </row>
    <row r="15" spans="1:22" x14ac:dyDescent="0.3">
      <c r="A15" t="s">
        <v>439</v>
      </c>
      <c r="B15" t="s">
        <v>440</v>
      </c>
      <c r="C15" t="s">
        <v>441</v>
      </c>
      <c r="D15" t="s">
        <v>442</v>
      </c>
      <c r="E15" t="s">
        <v>443</v>
      </c>
      <c r="F15" t="s">
        <v>444</v>
      </c>
      <c r="G15" t="s">
        <v>445</v>
      </c>
      <c r="H15" t="s">
        <v>446</v>
      </c>
      <c r="I15" t="s">
        <v>447</v>
      </c>
      <c r="J15" t="s">
        <v>448</v>
      </c>
      <c r="K15" t="s">
        <v>449</v>
      </c>
      <c r="L15" t="s">
        <v>450</v>
      </c>
      <c r="M15" t="s">
        <v>451</v>
      </c>
      <c r="N15" t="s">
        <v>452</v>
      </c>
      <c r="O15" t="s">
        <v>453</v>
      </c>
      <c r="P15" t="s">
        <v>454</v>
      </c>
      <c r="Q15" t="s">
        <v>455</v>
      </c>
      <c r="R15" t="s">
        <v>456</v>
      </c>
      <c r="S15" t="s">
        <v>457</v>
      </c>
      <c r="T15" t="s">
        <v>458</v>
      </c>
      <c r="U15" t="s">
        <v>459</v>
      </c>
      <c r="V15" t="s">
        <v>251</v>
      </c>
    </row>
    <row r="16" spans="1:22" x14ac:dyDescent="0.3">
      <c r="A16" t="s">
        <v>460</v>
      </c>
      <c r="B16" t="s">
        <v>461</v>
      </c>
      <c r="C16" t="s">
        <v>462</v>
      </c>
      <c r="D16" t="s">
        <v>463</v>
      </c>
      <c r="E16" t="s">
        <v>464</v>
      </c>
      <c r="F16" t="s">
        <v>465</v>
      </c>
      <c r="G16" t="s">
        <v>466</v>
      </c>
      <c r="H16" t="s">
        <v>467</v>
      </c>
      <c r="I16" t="s">
        <v>356</v>
      </c>
      <c r="J16" t="s">
        <v>468</v>
      </c>
      <c r="K16" t="s">
        <v>469</v>
      </c>
      <c r="L16" t="s">
        <v>470</v>
      </c>
      <c r="M16" t="s">
        <v>471</v>
      </c>
      <c r="N16" t="s">
        <v>472</v>
      </c>
      <c r="O16" t="s">
        <v>473</v>
      </c>
      <c r="P16" t="s">
        <v>474</v>
      </c>
      <c r="Q16" t="s">
        <v>475</v>
      </c>
      <c r="R16" t="s">
        <v>476</v>
      </c>
      <c r="S16" t="s">
        <v>477</v>
      </c>
      <c r="T16" t="s">
        <v>478</v>
      </c>
      <c r="U16" t="s">
        <v>479</v>
      </c>
      <c r="V16" t="s">
        <v>251</v>
      </c>
    </row>
    <row r="17" spans="1:22" x14ac:dyDescent="0.3">
      <c r="A17" t="s">
        <v>480</v>
      </c>
      <c r="B17" t="s">
        <v>448</v>
      </c>
      <c r="C17" t="s">
        <v>481</v>
      </c>
      <c r="D17" t="s">
        <v>482</v>
      </c>
      <c r="E17" t="s">
        <v>483</v>
      </c>
      <c r="F17" t="s">
        <v>436</v>
      </c>
      <c r="G17" t="s">
        <v>436</v>
      </c>
      <c r="H17" t="s">
        <v>436</v>
      </c>
      <c r="I17" t="s">
        <v>436</v>
      </c>
      <c r="J17" t="s">
        <v>436</v>
      </c>
      <c r="K17" t="s">
        <v>436</v>
      </c>
      <c r="L17" t="s">
        <v>436</v>
      </c>
      <c r="M17" t="s">
        <v>436</v>
      </c>
      <c r="N17" t="s">
        <v>436</v>
      </c>
      <c r="O17" t="s">
        <v>436</v>
      </c>
      <c r="P17" t="s">
        <v>436</v>
      </c>
      <c r="Q17" t="s">
        <v>436</v>
      </c>
      <c r="R17" t="s">
        <v>436</v>
      </c>
      <c r="S17" t="s">
        <v>436</v>
      </c>
      <c r="T17" t="s">
        <v>436</v>
      </c>
      <c r="U17" t="s">
        <v>484</v>
      </c>
      <c r="V17" t="s">
        <v>251</v>
      </c>
    </row>
    <row r="18" spans="1:22" x14ac:dyDescent="0.3">
      <c r="A18" t="s">
        <v>485</v>
      </c>
      <c r="B18" t="s">
        <v>436</v>
      </c>
      <c r="C18" t="s">
        <v>436</v>
      </c>
      <c r="D18" t="s">
        <v>486</v>
      </c>
      <c r="E18" t="s">
        <v>487</v>
      </c>
      <c r="F18" t="s">
        <v>436</v>
      </c>
      <c r="G18" t="s">
        <v>436</v>
      </c>
      <c r="H18" t="s">
        <v>488</v>
      </c>
      <c r="I18" t="s">
        <v>489</v>
      </c>
      <c r="J18" t="s">
        <v>436</v>
      </c>
      <c r="K18" t="s">
        <v>436</v>
      </c>
      <c r="L18" t="s">
        <v>436</v>
      </c>
      <c r="M18" t="s">
        <v>490</v>
      </c>
      <c r="N18" t="s">
        <v>491</v>
      </c>
      <c r="O18" t="s">
        <v>492</v>
      </c>
      <c r="P18" t="s">
        <v>493</v>
      </c>
      <c r="Q18" t="s">
        <v>494</v>
      </c>
      <c r="R18" t="s">
        <v>436</v>
      </c>
      <c r="S18" t="s">
        <v>436</v>
      </c>
      <c r="T18" t="s">
        <v>495</v>
      </c>
      <c r="U18" t="s">
        <v>496</v>
      </c>
      <c r="V18" t="s">
        <v>251</v>
      </c>
    </row>
    <row r="19" spans="1:22" x14ac:dyDescent="0.3">
      <c r="A19" t="s">
        <v>497</v>
      </c>
      <c r="B19" t="s">
        <v>436</v>
      </c>
      <c r="C19" t="s">
        <v>436</v>
      </c>
      <c r="D19" t="s">
        <v>436</v>
      </c>
      <c r="E19" t="s">
        <v>498</v>
      </c>
      <c r="F19" t="s">
        <v>436</v>
      </c>
      <c r="G19" t="s">
        <v>436</v>
      </c>
      <c r="H19" t="s">
        <v>436</v>
      </c>
      <c r="I19" t="s">
        <v>436</v>
      </c>
      <c r="J19" t="s">
        <v>436</v>
      </c>
      <c r="K19" t="s">
        <v>436</v>
      </c>
      <c r="L19" t="s">
        <v>436</v>
      </c>
      <c r="M19" t="s">
        <v>436</v>
      </c>
      <c r="N19" t="s">
        <v>436</v>
      </c>
      <c r="O19" t="s">
        <v>436</v>
      </c>
      <c r="P19" t="s">
        <v>436</v>
      </c>
      <c r="Q19" t="s">
        <v>436</v>
      </c>
      <c r="R19" t="s">
        <v>436</v>
      </c>
      <c r="S19" t="s">
        <v>436</v>
      </c>
      <c r="T19" t="s">
        <v>436</v>
      </c>
      <c r="U19" t="s">
        <v>436</v>
      </c>
      <c r="V19" t="s">
        <v>251</v>
      </c>
    </row>
    <row r="20" spans="1:22" x14ac:dyDescent="0.3">
      <c r="A20" t="s">
        <v>499</v>
      </c>
      <c r="B20" t="s">
        <v>500</v>
      </c>
      <c r="C20" t="s">
        <v>501</v>
      </c>
      <c r="D20" t="s">
        <v>502</v>
      </c>
      <c r="E20" t="s">
        <v>503</v>
      </c>
      <c r="F20" t="s">
        <v>465</v>
      </c>
      <c r="G20" t="s">
        <v>466</v>
      </c>
      <c r="H20" t="s">
        <v>504</v>
      </c>
      <c r="I20" t="s">
        <v>505</v>
      </c>
      <c r="J20" t="s">
        <v>468</v>
      </c>
      <c r="K20" t="s">
        <v>469</v>
      </c>
      <c r="L20" t="s">
        <v>470</v>
      </c>
      <c r="M20" t="s">
        <v>506</v>
      </c>
      <c r="N20" t="s">
        <v>507</v>
      </c>
      <c r="O20" t="s">
        <v>508</v>
      </c>
      <c r="P20" t="s">
        <v>509</v>
      </c>
      <c r="Q20" t="s">
        <v>510</v>
      </c>
      <c r="R20" t="s">
        <v>476</v>
      </c>
      <c r="S20" t="s">
        <v>477</v>
      </c>
      <c r="T20" t="s">
        <v>511</v>
      </c>
      <c r="U20" t="s">
        <v>512</v>
      </c>
      <c r="V20" t="s">
        <v>251</v>
      </c>
    </row>
    <row r="21" spans="1:22" x14ac:dyDescent="0.3">
      <c r="A21" t="s">
        <v>513</v>
      </c>
      <c r="B21" t="s">
        <v>514</v>
      </c>
      <c r="C21" t="s">
        <v>515</v>
      </c>
      <c r="D21" t="s">
        <v>516</v>
      </c>
      <c r="E21" t="s">
        <v>517</v>
      </c>
      <c r="F21" t="s">
        <v>518</v>
      </c>
      <c r="G21" t="s">
        <v>519</v>
      </c>
      <c r="H21" t="s">
        <v>520</v>
      </c>
      <c r="I21" t="s">
        <v>521</v>
      </c>
      <c r="J21" t="s">
        <v>522</v>
      </c>
      <c r="K21" t="s">
        <v>523</v>
      </c>
      <c r="L21" t="s">
        <v>524</v>
      </c>
      <c r="M21" t="s">
        <v>525</v>
      </c>
      <c r="N21" t="s">
        <v>526</v>
      </c>
      <c r="O21" t="s">
        <v>527</v>
      </c>
      <c r="P21" t="s">
        <v>528</v>
      </c>
      <c r="Q21" t="s">
        <v>529</v>
      </c>
      <c r="R21" t="s">
        <v>530</v>
      </c>
      <c r="S21" t="s">
        <v>531</v>
      </c>
      <c r="T21" t="s">
        <v>532</v>
      </c>
      <c r="U21" t="s">
        <v>533</v>
      </c>
      <c r="V21" t="s">
        <v>251</v>
      </c>
    </row>
    <row r="22" spans="1:22" x14ac:dyDescent="0.3">
      <c r="A22" t="s">
        <v>534</v>
      </c>
      <c r="B22" t="s">
        <v>535</v>
      </c>
      <c r="C22" t="s">
        <v>536</v>
      </c>
      <c r="D22" t="s">
        <v>537</v>
      </c>
      <c r="E22" t="s">
        <v>538</v>
      </c>
      <c r="F22" t="s">
        <v>539</v>
      </c>
      <c r="G22" t="s">
        <v>540</v>
      </c>
      <c r="H22" t="s">
        <v>541</v>
      </c>
      <c r="I22" t="s">
        <v>542</v>
      </c>
      <c r="J22" t="s">
        <v>543</v>
      </c>
      <c r="K22" t="s">
        <v>544</v>
      </c>
      <c r="L22" t="s">
        <v>545</v>
      </c>
      <c r="M22" t="s">
        <v>546</v>
      </c>
      <c r="N22" t="s">
        <v>547</v>
      </c>
      <c r="O22" t="s">
        <v>392</v>
      </c>
      <c r="P22" t="s">
        <v>548</v>
      </c>
      <c r="Q22" t="s">
        <v>549</v>
      </c>
      <c r="R22" t="s">
        <v>550</v>
      </c>
      <c r="S22" t="s">
        <v>551</v>
      </c>
      <c r="T22" t="s">
        <v>552</v>
      </c>
      <c r="U22" t="s">
        <v>553</v>
      </c>
      <c r="V22" t="s">
        <v>251</v>
      </c>
    </row>
    <row r="23" spans="1:22" x14ac:dyDescent="0.3">
      <c r="A23" t="s">
        <v>554</v>
      </c>
      <c r="B23" t="s">
        <v>555</v>
      </c>
      <c r="C23" t="s">
        <v>556</v>
      </c>
      <c r="D23" t="s">
        <v>557</v>
      </c>
      <c r="E23" t="s">
        <v>558</v>
      </c>
      <c r="F23" t="s">
        <v>559</v>
      </c>
      <c r="G23" t="s">
        <v>560</v>
      </c>
      <c r="H23" t="s">
        <v>561</v>
      </c>
      <c r="I23" t="s">
        <v>562</v>
      </c>
      <c r="J23" t="s">
        <v>559</v>
      </c>
      <c r="K23" t="s">
        <v>559</v>
      </c>
      <c r="L23" t="s">
        <v>555</v>
      </c>
      <c r="M23" t="s">
        <v>563</v>
      </c>
      <c r="N23" t="s">
        <v>456</v>
      </c>
      <c r="O23" t="s">
        <v>564</v>
      </c>
      <c r="P23" t="s">
        <v>565</v>
      </c>
      <c r="Q23" t="s">
        <v>566</v>
      </c>
      <c r="R23" t="s">
        <v>555</v>
      </c>
      <c r="S23" t="s">
        <v>436</v>
      </c>
      <c r="T23" t="s">
        <v>567</v>
      </c>
      <c r="U23" t="s">
        <v>436</v>
      </c>
      <c r="V23" t="s">
        <v>251</v>
      </c>
    </row>
    <row r="24" spans="1:22" x14ac:dyDescent="0.3">
      <c r="A24" t="s">
        <v>568</v>
      </c>
      <c r="B24" t="s">
        <v>569</v>
      </c>
      <c r="C24" t="s">
        <v>570</v>
      </c>
      <c r="D24" t="s">
        <v>571</v>
      </c>
      <c r="E24" t="s">
        <v>572</v>
      </c>
      <c r="F24" t="s">
        <v>539</v>
      </c>
      <c r="G24" t="s">
        <v>573</v>
      </c>
      <c r="H24" t="s">
        <v>574</v>
      </c>
      <c r="I24" t="s">
        <v>575</v>
      </c>
      <c r="J24" t="s">
        <v>543</v>
      </c>
      <c r="K24" t="s">
        <v>576</v>
      </c>
      <c r="L24" t="s">
        <v>577</v>
      </c>
      <c r="M24" t="s">
        <v>578</v>
      </c>
      <c r="N24" t="s">
        <v>579</v>
      </c>
      <c r="O24" t="s">
        <v>580</v>
      </c>
      <c r="P24" t="s">
        <v>581</v>
      </c>
      <c r="Q24" t="s">
        <v>582</v>
      </c>
      <c r="R24" t="s">
        <v>583</v>
      </c>
      <c r="S24" t="s">
        <v>551</v>
      </c>
      <c r="T24" t="s">
        <v>584</v>
      </c>
      <c r="U24" t="s">
        <v>553</v>
      </c>
      <c r="V24" t="s">
        <v>251</v>
      </c>
    </row>
    <row r="25" spans="1:22" x14ac:dyDescent="0.3">
      <c r="A25" t="s">
        <v>585</v>
      </c>
      <c r="B25" t="s">
        <v>569</v>
      </c>
      <c r="C25" t="s">
        <v>570</v>
      </c>
      <c r="D25" t="s">
        <v>571</v>
      </c>
      <c r="E25" t="s">
        <v>572</v>
      </c>
      <c r="F25" t="s">
        <v>539</v>
      </c>
      <c r="G25" t="s">
        <v>573</v>
      </c>
      <c r="H25" t="s">
        <v>574</v>
      </c>
      <c r="I25" t="s">
        <v>575</v>
      </c>
      <c r="J25" t="s">
        <v>543</v>
      </c>
      <c r="K25" t="s">
        <v>576</v>
      </c>
      <c r="L25" t="s">
        <v>577</v>
      </c>
      <c r="M25" t="s">
        <v>578</v>
      </c>
      <c r="N25" t="s">
        <v>579</v>
      </c>
      <c r="O25" t="s">
        <v>580</v>
      </c>
      <c r="P25" t="s">
        <v>581</v>
      </c>
      <c r="Q25" t="s">
        <v>582</v>
      </c>
      <c r="R25" t="s">
        <v>583</v>
      </c>
      <c r="S25" t="s">
        <v>551</v>
      </c>
      <c r="T25" t="s">
        <v>584</v>
      </c>
      <c r="U25" t="s">
        <v>553</v>
      </c>
      <c r="V25" t="s">
        <v>251</v>
      </c>
    </row>
    <row r="26" spans="1:22" x14ac:dyDescent="0.3">
      <c r="A26" t="s">
        <v>586</v>
      </c>
      <c r="B26" t="s">
        <v>436</v>
      </c>
      <c r="C26" t="s">
        <v>436</v>
      </c>
      <c r="D26" t="s">
        <v>436</v>
      </c>
      <c r="E26" t="s">
        <v>436</v>
      </c>
      <c r="F26" t="s">
        <v>436</v>
      </c>
      <c r="G26" t="s">
        <v>587</v>
      </c>
      <c r="H26" t="s">
        <v>588</v>
      </c>
      <c r="I26" t="s">
        <v>436</v>
      </c>
      <c r="J26" t="s">
        <v>436</v>
      </c>
      <c r="K26" t="s">
        <v>436</v>
      </c>
      <c r="L26" t="s">
        <v>436</v>
      </c>
      <c r="M26" t="s">
        <v>436</v>
      </c>
      <c r="N26" t="s">
        <v>436</v>
      </c>
      <c r="O26" t="s">
        <v>436</v>
      </c>
      <c r="P26" t="s">
        <v>436</v>
      </c>
      <c r="Q26" t="s">
        <v>436</v>
      </c>
      <c r="R26" t="s">
        <v>436</v>
      </c>
      <c r="S26" t="s">
        <v>436</v>
      </c>
      <c r="T26" t="s">
        <v>436</v>
      </c>
      <c r="U26" t="s">
        <v>436</v>
      </c>
      <c r="V26" t="s">
        <v>251</v>
      </c>
    </row>
    <row r="27" spans="1:22" x14ac:dyDescent="0.3">
      <c r="A27" t="s">
        <v>589</v>
      </c>
      <c r="B27" t="s">
        <v>590</v>
      </c>
      <c r="C27" t="s">
        <v>591</v>
      </c>
      <c r="D27" t="s">
        <v>592</v>
      </c>
      <c r="E27" t="s">
        <v>593</v>
      </c>
      <c r="F27" t="s">
        <v>594</v>
      </c>
      <c r="G27" t="s">
        <v>595</v>
      </c>
      <c r="H27" t="s">
        <v>596</v>
      </c>
      <c r="I27" t="s">
        <v>597</v>
      </c>
      <c r="J27" t="s">
        <v>598</v>
      </c>
      <c r="K27" t="s">
        <v>599</v>
      </c>
      <c r="L27" t="s">
        <v>600</v>
      </c>
      <c r="M27" t="s">
        <v>601</v>
      </c>
      <c r="N27" t="s">
        <v>602</v>
      </c>
      <c r="O27" t="s">
        <v>603</v>
      </c>
      <c r="P27" t="s">
        <v>604</v>
      </c>
      <c r="Q27" t="s">
        <v>605</v>
      </c>
      <c r="R27" t="s">
        <v>606</v>
      </c>
      <c r="S27" t="s">
        <v>607</v>
      </c>
      <c r="T27" t="s">
        <v>608</v>
      </c>
      <c r="U27" t="s">
        <v>609</v>
      </c>
      <c r="V27" t="s">
        <v>251</v>
      </c>
    </row>
    <row r="28" spans="1:22" x14ac:dyDescent="0.3">
      <c r="A28" t="s">
        <v>610</v>
      </c>
      <c r="B28" t="s">
        <v>590</v>
      </c>
      <c r="C28" t="s">
        <v>591</v>
      </c>
      <c r="D28" t="s">
        <v>592</v>
      </c>
      <c r="E28" t="s">
        <v>593</v>
      </c>
      <c r="F28" t="s">
        <v>594</v>
      </c>
      <c r="G28" t="s">
        <v>590</v>
      </c>
      <c r="H28" t="s">
        <v>591</v>
      </c>
      <c r="I28" t="s">
        <v>592</v>
      </c>
      <c r="J28" t="s">
        <v>595</v>
      </c>
      <c r="K28" t="s">
        <v>596</v>
      </c>
      <c r="L28" t="s">
        <v>597</v>
      </c>
      <c r="M28" t="s">
        <v>601</v>
      </c>
      <c r="N28" t="s">
        <v>602</v>
      </c>
      <c r="O28" t="s">
        <v>603</v>
      </c>
      <c r="P28" t="s">
        <v>604</v>
      </c>
      <c r="Q28" t="s">
        <v>605</v>
      </c>
      <c r="R28" t="s">
        <v>606</v>
      </c>
      <c r="S28" t="s">
        <v>607</v>
      </c>
      <c r="T28" t="s">
        <v>608</v>
      </c>
      <c r="U28" t="s">
        <v>609</v>
      </c>
      <c r="V28" t="s">
        <v>251</v>
      </c>
    </row>
    <row r="29" spans="1:22" x14ac:dyDescent="0.3">
      <c r="A29" t="s">
        <v>611</v>
      </c>
      <c r="B29" t="s">
        <v>612</v>
      </c>
      <c r="C29" t="s">
        <v>613</v>
      </c>
      <c r="D29" t="s">
        <v>614</v>
      </c>
      <c r="E29" t="s">
        <v>615</v>
      </c>
      <c r="F29" t="s">
        <v>616</v>
      </c>
      <c r="G29" t="s">
        <v>617</v>
      </c>
      <c r="H29" t="s">
        <v>618</v>
      </c>
      <c r="I29" t="s">
        <v>619</v>
      </c>
      <c r="J29" t="s">
        <v>620</v>
      </c>
      <c r="K29" t="s">
        <v>621</v>
      </c>
      <c r="L29" t="s">
        <v>622</v>
      </c>
      <c r="M29" t="s">
        <v>623</v>
      </c>
      <c r="N29" t="s">
        <v>624</v>
      </c>
      <c r="O29" t="s">
        <v>625</v>
      </c>
      <c r="P29" t="s">
        <v>626</v>
      </c>
      <c r="Q29" t="s">
        <v>627</v>
      </c>
      <c r="R29" t="s">
        <v>628</v>
      </c>
      <c r="S29" t="s">
        <v>629</v>
      </c>
      <c r="T29" t="s">
        <v>630</v>
      </c>
      <c r="U29" t="s">
        <v>631</v>
      </c>
      <c r="V29" t="s">
        <v>251</v>
      </c>
    </row>
    <row r="30" spans="1:22" x14ac:dyDescent="0.3">
      <c r="A30" t="s">
        <v>632</v>
      </c>
      <c r="B30" t="s">
        <v>633</v>
      </c>
      <c r="C30" t="s">
        <v>634</v>
      </c>
      <c r="D30" t="s">
        <v>635</v>
      </c>
      <c r="E30" t="s">
        <v>636</v>
      </c>
      <c r="F30" t="s">
        <v>637</v>
      </c>
      <c r="G30" t="s">
        <v>638</v>
      </c>
      <c r="H30" t="s">
        <v>639</v>
      </c>
      <c r="I30" t="s">
        <v>640</v>
      </c>
      <c r="J30" t="s">
        <v>641</v>
      </c>
      <c r="K30" t="s">
        <v>642</v>
      </c>
      <c r="L30" t="s">
        <v>643</v>
      </c>
      <c r="M30" t="s">
        <v>644</v>
      </c>
      <c r="N30" t="s">
        <v>566</v>
      </c>
      <c r="O30" t="s">
        <v>645</v>
      </c>
      <c r="P30" t="s">
        <v>633</v>
      </c>
      <c r="Q30" t="s">
        <v>646</v>
      </c>
      <c r="R30" t="s">
        <v>443</v>
      </c>
      <c r="S30" t="s">
        <v>647</v>
      </c>
      <c r="T30" t="s">
        <v>648</v>
      </c>
      <c r="U30" t="s">
        <v>649</v>
      </c>
      <c r="V30" t="s">
        <v>251</v>
      </c>
    </row>
    <row r="31" spans="1:22" x14ac:dyDescent="0.3">
      <c r="A31" t="s">
        <v>650</v>
      </c>
      <c r="B31" t="s">
        <v>633</v>
      </c>
      <c r="C31" t="s">
        <v>634</v>
      </c>
      <c r="D31" t="s">
        <v>635</v>
      </c>
      <c r="E31" t="s">
        <v>636</v>
      </c>
      <c r="F31" t="s">
        <v>637</v>
      </c>
      <c r="G31" t="s">
        <v>638</v>
      </c>
      <c r="H31" t="s">
        <v>651</v>
      </c>
      <c r="I31" t="s">
        <v>640</v>
      </c>
      <c r="J31" t="s">
        <v>641</v>
      </c>
      <c r="K31" t="s">
        <v>438</v>
      </c>
      <c r="L31" t="s">
        <v>643</v>
      </c>
      <c r="M31" t="s">
        <v>645</v>
      </c>
      <c r="N31" t="s">
        <v>566</v>
      </c>
      <c r="O31" t="s">
        <v>645</v>
      </c>
      <c r="P31" t="s">
        <v>633</v>
      </c>
      <c r="Q31" t="s">
        <v>646</v>
      </c>
      <c r="R31" t="s">
        <v>443</v>
      </c>
      <c r="S31" t="s">
        <v>647</v>
      </c>
      <c r="T31" t="s">
        <v>648</v>
      </c>
      <c r="U31" t="s">
        <v>649</v>
      </c>
      <c r="V31" t="s">
        <v>251</v>
      </c>
    </row>
    <row r="32" spans="1:22" x14ac:dyDescent="0.3">
      <c r="A32" t="s">
        <v>652</v>
      </c>
      <c r="B32" t="s">
        <v>436</v>
      </c>
      <c r="C32" t="s">
        <v>436</v>
      </c>
      <c r="D32" t="s">
        <v>436</v>
      </c>
      <c r="E32" t="s">
        <v>436</v>
      </c>
      <c r="F32" t="s">
        <v>436</v>
      </c>
      <c r="G32" t="s">
        <v>653</v>
      </c>
      <c r="H32" t="s">
        <v>654</v>
      </c>
      <c r="I32" t="s">
        <v>436</v>
      </c>
      <c r="J32" t="s">
        <v>436</v>
      </c>
      <c r="K32" t="s">
        <v>436</v>
      </c>
      <c r="L32" t="s">
        <v>436</v>
      </c>
      <c r="M32" t="s">
        <v>436</v>
      </c>
      <c r="N32" t="s">
        <v>436</v>
      </c>
      <c r="O32" t="s">
        <v>436</v>
      </c>
      <c r="P32" t="s">
        <v>436</v>
      </c>
      <c r="Q32" t="s">
        <v>436</v>
      </c>
      <c r="R32" t="s">
        <v>436</v>
      </c>
      <c r="S32" t="s">
        <v>436</v>
      </c>
      <c r="T32" t="s">
        <v>436</v>
      </c>
      <c r="U32" t="s">
        <v>436</v>
      </c>
      <c r="V32" t="s">
        <v>251</v>
      </c>
    </row>
    <row r="33" spans="1:22" x14ac:dyDescent="0.3">
      <c r="A33" t="s">
        <v>655</v>
      </c>
      <c r="B33" t="s">
        <v>656</v>
      </c>
      <c r="C33" t="s">
        <v>657</v>
      </c>
      <c r="D33" t="s">
        <v>658</v>
      </c>
      <c r="E33" t="s">
        <v>659</v>
      </c>
      <c r="F33" t="s">
        <v>660</v>
      </c>
      <c r="G33" t="s">
        <v>661</v>
      </c>
      <c r="H33" t="s">
        <v>662</v>
      </c>
      <c r="I33" t="s">
        <v>663</v>
      </c>
      <c r="J33" t="s">
        <v>664</v>
      </c>
      <c r="K33" t="s">
        <v>665</v>
      </c>
      <c r="L33" t="s">
        <v>666</v>
      </c>
      <c r="M33" t="s">
        <v>667</v>
      </c>
      <c r="N33" t="s">
        <v>668</v>
      </c>
      <c r="O33" t="s">
        <v>669</v>
      </c>
      <c r="P33" t="s">
        <v>670</v>
      </c>
      <c r="Q33" t="s">
        <v>671</v>
      </c>
      <c r="R33" t="s">
        <v>672</v>
      </c>
      <c r="S33" t="s">
        <v>673</v>
      </c>
      <c r="T33" t="s">
        <v>674</v>
      </c>
      <c r="U33" t="s">
        <v>675</v>
      </c>
      <c r="V33" t="s">
        <v>251</v>
      </c>
    </row>
    <row r="34" spans="1:22" x14ac:dyDescent="0.3">
      <c r="A34" t="s">
        <v>676</v>
      </c>
      <c r="B34" t="s">
        <v>677</v>
      </c>
      <c r="C34" t="s">
        <v>678</v>
      </c>
      <c r="D34" t="s">
        <v>679</v>
      </c>
      <c r="E34" t="s">
        <v>680</v>
      </c>
      <c r="F34" t="s">
        <v>681</v>
      </c>
      <c r="G34" t="s">
        <v>447</v>
      </c>
      <c r="H34" t="s">
        <v>682</v>
      </c>
      <c r="I34" t="s">
        <v>683</v>
      </c>
      <c r="J34" t="s">
        <v>684</v>
      </c>
      <c r="K34" t="s">
        <v>685</v>
      </c>
      <c r="L34" t="s">
        <v>686</v>
      </c>
      <c r="M34" t="s">
        <v>687</v>
      </c>
      <c r="N34" t="s">
        <v>446</v>
      </c>
      <c r="O34" t="s">
        <v>457</v>
      </c>
      <c r="P34" t="s">
        <v>688</v>
      </c>
      <c r="Q34" t="s">
        <v>689</v>
      </c>
      <c r="R34" t="s">
        <v>690</v>
      </c>
      <c r="S34" t="s">
        <v>691</v>
      </c>
      <c r="T34" t="s">
        <v>692</v>
      </c>
      <c r="U34" t="s">
        <v>693</v>
      </c>
      <c r="V34" t="s">
        <v>251</v>
      </c>
    </row>
    <row r="35" spans="1:22" x14ac:dyDescent="0.3">
      <c r="A35" t="s">
        <v>694</v>
      </c>
      <c r="B35" t="s">
        <v>695</v>
      </c>
      <c r="C35" t="s">
        <v>696</v>
      </c>
      <c r="D35" t="s">
        <v>697</v>
      </c>
      <c r="E35" t="s">
        <v>698</v>
      </c>
      <c r="F35" t="s">
        <v>699</v>
      </c>
      <c r="G35" t="s">
        <v>700</v>
      </c>
      <c r="H35" t="s">
        <v>701</v>
      </c>
      <c r="I35" t="s">
        <v>702</v>
      </c>
      <c r="J35" t="s">
        <v>703</v>
      </c>
      <c r="K35" t="s">
        <v>704</v>
      </c>
      <c r="L35" t="s">
        <v>705</v>
      </c>
      <c r="M35" t="s">
        <v>706</v>
      </c>
      <c r="N35" t="s">
        <v>707</v>
      </c>
      <c r="O35" t="s">
        <v>708</v>
      </c>
      <c r="P35" t="s">
        <v>709</v>
      </c>
      <c r="Q35" t="s">
        <v>710</v>
      </c>
      <c r="R35" t="s">
        <v>711</v>
      </c>
      <c r="S35" t="s">
        <v>712</v>
      </c>
      <c r="T35" t="s">
        <v>713</v>
      </c>
      <c r="U35" t="s">
        <v>714</v>
      </c>
      <c r="V35" t="s">
        <v>251</v>
      </c>
    </row>
    <row r="36" spans="1:22" x14ac:dyDescent="0.3">
      <c r="A36" t="s">
        <v>715</v>
      </c>
      <c r="B36" t="s">
        <v>716</v>
      </c>
      <c r="C36" t="s">
        <v>717</v>
      </c>
      <c r="D36" t="s">
        <v>718</v>
      </c>
      <c r="E36" t="s">
        <v>719</v>
      </c>
      <c r="F36" t="s">
        <v>720</v>
      </c>
      <c r="G36" t="s">
        <v>721</v>
      </c>
      <c r="H36" t="s">
        <v>722</v>
      </c>
      <c r="I36" t="s">
        <v>723</v>
      </c>
      <c r="J36" t="s">
        <v>724</v>
      </c>
      <c r="K36" t="s">
        <v>725</v>
      </c>
      <c r="L36" t="s">
        <v>726</v>
      </c>
      <c r="M36" t="s">
        <v>727</v>
      </c>
      <c r="N36" t="s">
        <v>728</v>
      </c>
      <c r="O36" t="s">
        <v>729</v>
      </c>
      <c r="P36" t="s">
        <v>730</v>
      </c>
      <c r="Q36" t="s">
        <v>731</v>
      </c>
      <c r="R36" t="s">
        <v>732</v>
      </c>
      <c r="S36" t="s">
        <v>733</v>
      </c>
      <c r="T36" t="s">
        <v>734</v>
      </c>
      <c r="U36" t="s">
        <v>735</v>
      </c>
      <c r="V36" t="s">
        <v>251</v>
      </c>
    </row>
    <row r="37" spans="1:22" x14ac:dyDescent="0.3">
      <c r="A37" t="s">
        <v>736</v>
      </c>
      <c r="B37" t="s">
        <v>737</v>
      </c>
      <c r="C37" t="s">
        <v>738</v>
      </c>
      <c r="D37" t="s">
        <v>739</v>
      </c>
      <c r="E37" t="s">
        <v>740</v>
      </c>
      <c r="F37" t="s">
        <v>741</v>
      </c>
      <c r="G37" t="s">
        <v>742</v>
      </c>
      <c r="H37" t="s">
        <v>743</v>
      </c>
      <c r="I37" t="s">
        <v>744</v>
      </c>
      <c r="J37" t="s">
        <v>745</v>
      </c>
      <c r="K37" t="s">
        <v>746</v>
      </c>
      <c r="L37" t="s">
        <v>747</v>
      </c>
      <c r="M37" t="s">
        <v>748</v>
      </c>
      <c r="N37" t="s">
        <v>749</v>
      </c>
      <c r="O37" t="s">
        <v>750</v>
      </c>
      <c r="P37" t="s">
        <v>751</v>
      </c>
      <c r="Q37" t="s">
        <v>752</v>
      </c>
      <c r="R37" t="s">
        <v>753</v>
      </c>
      <c r="S37" t="s">
        <v>754</v>
      </c>
      <c r="T37" t="s">
        <v>755</v>
      </c>
      <c r="U37" t="s">
        <v>756</v>
      </c>
      <c r="V37" t="s">
        <v>251</v>
      </c>
    </row>
    <row r="38" spans="1:22" x14ac:dyDescent="0.3">
      <c r="A38" t="s">
        <v>757</v>
      </c>
      <c r="B38" t="s">
        <v>758</v>
      </c>
      <c r="C38" t="s">
        <v>759</v>
      </c>
      <c r="D38" t="s">
        <v>760</v>
      </c>
      <c r="E38" t="s">
        <v>761</v>
      </c>
      <c r="F38" t="s">
        <v>762</v>
      </c>
      <c r="G38" t="s">
        <v>763</v>
      </c>
      <c r="H38" t="s">
        <v>764</v>
      </c>
      <c r="I38" t="s">
        <v>765</v>
      </c>
      <c r="J38" t="s">
        <v>766</v>
      </c>
      <c r="K38" t="s">
        <v>767</v>
      </c>
      <c r="L38" t="s">
        <v>768</v>
      </c>
      <c r="M38" t="s">
        <v>769</v>
      </c>
      <c r="N38" t="s">
        <v>770</v>
      </c>
      <c r="O38" t="s">
        <v>771</v>
      </c>
      <c r="P38" t="s">
        <v>772</v>
      </c>
      <c r="Q38" t="s">
        <v>773</v>
      </c>
      <c r="R38" t="s">
        <v>774</v>
      </c>
      <c r="S38" t="s">
        <v>775</v>
      </c>
      <c r="T38" t="s">
        <v>776</v>
      </c>
      <c r="U38" t="s">
        <v>777</v>
      </c>
      <c r="V38" t="s">
        <v>251</v>
      </c>
    </row>
    <row r="39" spans="1:22" x14ac:dyDescent="0.3">
      <c r="A39" t="s">
        <v>778</v>
      </c>
      <c r="B39" t="s">
        <v>779</v>
      </c>
      <c r="C39" t="s">
        <v>780</v>
      </c>
      <c r="D39" t="s">
        <v>781</v>
      </c>
      <c r="E39" t="s">
        <v>782</v>
      </c>
      <c r="F39" t="s">
        <v>783</v>
      </c>
      <c r="G39" t="s">
        <v>784</v>
      </c>
      <c r="H39" t="s">
        <v>574</v>
      </c>
      <c r="I39" t="s">
        <v>785</v>
      </c>
      <c r="J39" t="s">
        <v>786</v>
      </c>
      <c r="K39" t="s">
        <v>787</v>
      </c>
      <c r="L39" t="s">
        <v>788</v>
      </c>
      <c r="M39" t="s">
        <v>789</v>
      </c>
      <c r="N39" t="s">
        <v>790</v>
      </c>
      <c r="O39" t="s">
        <v>791</v>
      </c>
      <c r="P39" t="s">
        <v>792</v>
      </c>
      <c r="Q39" t="s">
        <v>793</v>
      </c>
      <c r="R39" t="s">
        <v>794</v>
      </c>
      <c r="S39" t="s">
        <v>795</v>
      </c>
      <c r="T39" t="s">
        <v>389</v>
      </c>
      <c r="U39" t="s">
        <v>796</v>
      </c>
      <c r="V39" t="s">
        <v>251</v>
      </c>
    </row>
    <row r="40" spans="1:22" x14ac:dyDescent="0.3">
      <c r="A40" t="s">
        <v>797</v>
      </c>
      <c r="B40" t="s">
        <v>798</v>
      </c>
      <c r="C40" t="s">
        <v>799</v>
      </c>
      <c r="D40" t="s">
        <v>800</v>
      </c>
      <c r="E40" t="s">
        <v>801</v>
      </c>
      <c r="F40" t="s">
        <v>802</v>
      </c>
      <c r="G40" t="s">
        <v>803</v>
      </c>
      <c r="H40" t="s">
        <v>743</v>
      </c>
      <c r="I40" t="s">
        <v>804</v>
      </c>
      <c r="J40" t="s">
        <v>805</v>
      </c>
      <c r="K40" t="s">
        <v>806</v>
      </c>
      <c r="L40" t="s">
        <v>807</v>
      </c>
      <c r="M40" t="s">
        <v>808</v>
      </c>
      <c r="N40" t="s">
        <v>809</v>
      </c>
      <c r="O40" t="s">
        <v>810</v>
      </c>
      <c r="P40" t="s">
        <v>811</v>
      </c>
      <c r="Q40" t="s">
        <v>812</v>
      </c>
      <c r="R40" t="s">
        <v>813</v>
      </c>
      <c r="S40" t="s">
        <v>814</v>
      </c>
      <c r="T40" t="s">
        <v>815</v>
      </c>
      <c r="U40" t="s">
        <v>816</v>
      </c>
      <c r="V40" t="s">
        <v>251</v>
      </c>
    </row>
    <row r="41" spans="1:22" x14ac:dyDescent="0.3">
      <c r="A41" t="s">
        <v>817</v>
      </c>
      <c r="B41" t="s">
        <v>818</v>
      </c>
      <c r="C41" t="s">
        <v>819</v>
      </c>
      <c r="D41" t="s">
        <v>820</v>
      </c>
      <c r="E41" t="s">
        <v>821</v>
      </c>
      <c r="F41" t="s">
        <v>822</v>
      </c>
      <c r="G41" t="s">
        <v>823</v>
      </c>
      <c r="H41" t="s">
        <v>824</v>
      </c>
      <c r="I41" t="s">
        <v>825</v>
      </c>
      <c r="J41" t="s">
        <v>826</v>
      </c>
      <c r="K41" t="s">
        <v>827</v>
      </c>
      <c r="L41" t="s">
        <v>828</v>
      </c>
      <c r="M41" t="s">
        <v>829</v>
      </c>
      <c r="N41" t="s">
        <v>830</v>
      </c>
      <c r="O41" t="s">
        <v>831</v>
      </c>
      <c r="P41" t="s">
        <v>832</v>
      </c>
      <c r="Q41" t="s">
        <v>833</v>
      </c>
      <c r="R41" t="s">
        <v>834</v>
      </c>
      <c r="S41" t="s">
        <v>835</v>
      </c>
      <c r="T41" t="s">
        <v>836</v>
      </c>
      <c r="U41" t="s">
        <v>837</v>
      </c>
      <c r="V41" t="s">
        <v>251</v>
      </c>
    </row>
    <row r="42" spans="1:22" x14ac:dyDescent="0.3">
      <c r="A42" t="s">
        <v>838</v>
      </c>
      <c r="B42" t="s">
        <v>379</v>
      </c>
      <c r="C42" t="s">
        <v>380</v>
      </c>
      <c r="D42" t="s">
        <v>381</v>
      </c>
      <c r="E42" t="s">
        <v>382</v>
      </c>
      <c r="F42" t="s">
        <v>383</v>
      </c>
      <c r="G42" t="s">
        <v>384</v>
      </c>
      <c r="H42" t="s">
        <v>385</v>
      </c>
      <c r="I42" t="s">
        <v>386</v>
      </c>
      <c r="J42" t="s">
        <v>387</v>
      </c>
      <c r="K42" t="s">
        <v>388</v>
      </c>
      <c r="L42" t="s">
        <v>389</v>
      </c>
      <c r="M42" t="s">
        <v>390</v>
      </c>
      <c r="N42" t="s">
        <v>391</v>
      </c>
      <c r="O42" t="s">
        <v>392</v>
      </c>
      <c r="P42" t="s">
        <v>393</v>
      </c>
      <c r="Q42" t="s">
        <v>394</v>
      </c>
      <c r="R42" t="s">
        <v>395</v>
      </c>
      <c r="S42" t="s">
        <v>396</v>
      </c>
      <c r="T42" t="s">
        <v>397</v>
      </c>
      <c r="U42" t="s">
        <v>398</v>
      </c>
      <c r="V42" t="s">
        <v>251</v>
      </c>
    </row>
    <row r="43" spans="1:22" x14ac:dyDescent="0.3">
      <c r="A43" t="s">
        <v>839</v>
      </c>
      <c r="B43" t="s">
        <v>716</v>
      </c>
      <c r="C43" t="s">
        <v>717</v>
      </c>
      <c r="D43" t="s">
        <v>718</v>
      </c>
      <c r="E43" t="s">
        <v>719</v>
      </c>
      <c r="F43" t="s">
        <v>720</v>
      </c>
      <c r="G43" t="s">
        <v>721</v>
      </c>
      <c r="H43" t="s">
        <v>722</v>
      </c>
      <c r="I43" t="s">
        <v>723</v>
      </c>
      <c r="J43" t="s">
        <v>724</v>
      </c>
      <c r="K43" t="s">
        <v>725</v>
      </c>
      <c r="L43" t="s">
        <v>726</v>
      </c>
      <c r="M43" t="s">
        <v>727</v>
      </c>
      <c r="N43" t="s">
        <v>728</v>
      </c>
      <c r="O43" t="s">
        <v>729</v>
      </c>
      <c r="P43" t="s">
        <v>730</v>
      </c>
      <c r="Q43" t="s">
        <v>731</v>
      </c>
      <c r="R43" t="s">
        <v>732</v>
      </c>
      <c r="S43" t="s">
        <v>733</v>
      </c>
      <c r="T43" t="s">
        <v>734</v>
      </c>
      <c r="U43" t="s">
        <v>735</v>
      </c>
      <c r="V43" t="s">
        <v>251</v>
      </c>
    </row>
    <row r="44" spans="1:22" x14ac:dyDescent="0.3">
      <c r="A44" t="s">
        <v>840</v>
      </c>
      <c r="B44" t="s">
        <v>436</v>
      </c>
      <c r="C44" t="s">
        <v>436</v>
      </c>
      <c r="D44" t="s">
        <v>436</v>
      </c>
      <c r="E44" t="s">
        <v>436</v>
      </c>
      <c r="F44" t="s">
        <v>436</v>
      </c>
      <c r="G44" t="s">
        <v>841</v>
      </c>
      <c r="H44" t="s">
        <v>842</v>
      </c>
      <c r="I44" t="s">
        <v>843</v>
      </c>
      <c r="J44" t="s">
        <v>844</v>
      </c>
      <c r="K44" t="s">
        <v>845</v>
      </c>
      <c r="L44" t="s">
        <v>846</v>
      </c>
      <c r="M44" t="s">
        <v>436</v>
      </c>
      <c r="N44" t="s">
        <v>436</v>
      </c>
      <c r="O44" t="s">
        <v>436</v>
      </c>
      <c r="P44" t="s">
        <v>436</v>
      </c>
      <c r="Q44" t="s">
        <v>436</v>
      </c>
      <c r="R44" t="s">
        <v>436</v>
      </c>
      <c r="S44" t="s">
        <v>436</v>
      </c>
      <c r="T44" t="s">
        <v>436</v>
      </c>
      <c r="U44" t="s">
        <v>436</v>
      </c>
      <c r="V44" t="s">
        <v>251</v>
      </c>
    </row>
    <row r="45" spans="1:22" x14ac:dyDescent="0.3">
      <c r="A45" t="s">
        <v>847</v>
      </c>
      <c r="B45" t="s">
        <v>231</v>
      </c>
      <c r="C45" t="s">
        <v>232</v>
      </c>
      <c r="D45" t="s">
        <v>233</v>
      </c>
      <c r="E45" t="s">
        <v>234</v>
      </c>
      <c r="F45" t="s">
        <v>235</v>
      </c>
      <c r="G45" t="s">
        <v>236</v>
      </c>
      <c r="H45" t="s">
        <v>237</v>
      </c>
      <c r="I45" t="s">
        <v>238</v>
      </c>
      <c r="J45" t="s">
        <v>239</v>
      </c>
      <c r="K45" t="s">
        <v>240</v>
      </c>
      <c r="L45" t="s">
        <v>241</v>
      </c>
      <c r="M45" t="s">
        <v>242</v>
      </c>
      <c r="N45" t="s">
        <v>243</v>
      </c>
      <c r="O45" t="s">
        <v>244</v>
      </c>
      <c r="P45" t="s">
        <v>245</v>
      </c>
      <c r="Q45" t="s">
        <v>246</v>
      </c>
      <c r="R45" t="s">
        <v>247</v>
      </c>
      <c r="S45" t="s">
        <v>248</v>
      </c>
      <c r="T45" t="s">
        <v>249</v>
      </c>
      <c r="U45" t="s">
        <v>250</v>
      </c>
      <c r="V45" t="s">
        <v>251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63F0D-061B-44D2-BBDE-852CA8B6C502}">
  <dimension ref="A1:V41"/>
  <sheetViews>
    <sheetView topLeftCell="A9" zoomScale="70" zoomScaleNormal="70" workbookViewId="0"/>
  </sheetViews>
  <sheetFormatPr defaultRowHeight="14.4" x14ac:dyDescent="0.3"/>
  <cols>
    <col min="1" max="1" width="37.88671875" bestFit="1" customWidth="1"/>
    <col min="2" max="2" width="18.109375" bestFit="1" customWidth="1"/>
    <col min="3" max="3" width="18" bestFit="1" customWidth="1"/>
    <col min="4" max="4" width="17.44140625" bestFit="1" customWidth="1"/>
    <col min="5" max="5" width="18.5546875" bestFit="1" customWidth="1"/>
    <col min="6" max="6" width="18.109375" bestFit="1" customWidth="1"/>
    <col min="7" max="7" width="18" bestFit="1" customWidth="1"/>
    <col min="8" max="8" width="17.44140625" bestFit="1" customWidth="1"/>
    <col min="9" max="9" width="18.5546875" bestFit="1" customWidth="1"/>
    <col min="10" max="10" width="18.109375" bestFit="1" customWidth="1"/>
    <col min="11" max="11" width="18" bestFit="1" customWidth="1"/>
    <col min="12" max="12" width="17.44140625" bestFit="1" customWidth="1"/>
    <col min="13" max="13" width="18.5546875" bestFit="1" customWidth="1"/>
    <col min="14" max="14" width="18.109375" bestFit="1" customWidth="1"/>
    <col min="15" max="15" width="18" bestFit="1" customWidth="1"/>
    <col min="16" max="16" width="17.44140625" bestFit="1" customWidth="1"/>
    <col min="17" max="17" width="18.5546875" bestFit="1" customWidth="1"/>
    <col min="18" max="18" width="18.109375" bestFit="1" customWidth="1"/>
    <col min="19" max="19" width="18" bestFit="1" customWidth="1"/>
    <col min="20" max="20" width="17.44140625" bestFit="1" customWidth="1"/>
    <col min="21" max="21" width="18.5546875" bestFit="1" customWidth="1"/>
    <col min="22" max="22" width="11.77734375" bestFit="1" customWidth="1"/>
  </cols>
  <sheetData>
    <row r="1" spans="1:22" x14ac:dyDescent="0.3">
      <c r="A1" t="s">
        <v>165</v>
      </c>
      <c r="B1" t="s">
        <v>166</v>
      </c>
      <c r="C1" t="s">
        <v>167</v>
      </c>
      <c r="D1" t="s">
        <v>168</v>
      </c>
      <c r="E1" t="s">
        <v>169</v>
      </c>
      <c r="F1" t="s">
        <v>170</v>
      </c>
      <c r="G1" t="s">
        <v>171</v>
      </c>
      <c r="H1" t="s">
        <v>172</v>
      </c>
      <c r="I1" t="s">
        <v>173</v>
      </c>
      <c r="J1" t="s">
        <v>174</v>
      </c>
      <c r="K1" t="s">
        <v>175</v>
      </c>
      <c r="L1" t="s">
        <v>176</v>
      </c>
      <c r="M1" t="s">
        <v>177</v>
      </c>
      <c r="N1" t="s">
        <v>178</v>
      </c>
      <c r="O1" t="s">
        <v>179</v>
      </c>
      <c r="P1" t="s">
        <v>180</v>
      </c>
      <c r="Q1" t="s">
        <v>181</v>
      </c>
      <c r="R1" t="s">
        <v>182</v>
      </c>
      <c r="S1" t="s">
        <v>183</v>
      </c>
      <c r="T1" t="s">
        <v>184</v>
      </c>
      <c r="U1" t="s">
        <v>185</v>
      </c>
      <c r="V1" t="s">
        <v>186</v>
      </c>
    </row>
    <row r="2" spans="1:22" x14ac:dyDescent="0.3">
      <c r="A2" t="s">
        <v>187</v>
      </c>
      <c r="B2" s="13" t="s">
        <v>191</v>
      </c>
      <c r="C2" s="15" t="s">
        <v>192</v>
      </c>
      <c r="D2" t="s">
        <v>193</v>
      </c>
      <c r="E2" s="15" t="s">
        <v>194</v>
      </c>
      <c r="F2" s="15" t="s">
        <v>195</v>
      </c>
      <c r="G2" s="15" t="s">
        <v>196</v>
      </c>
      <c r="H2" s="13" t="s">
        <v>197</v>
      </c>
      <c r="I2" s="13" t="s">
        <v>198</v>
      </c>
      <c r="J2" s="13" t="s">
        <v>199</v>
      </c>
      <c r="K2" s="15" t="s">
        <v>200</v>
      </c>
      <c r="L2" s="15" t="s">
        <v>201</v>
      </c>
      <c r="M2" t="s">
        <v>202</v>
      </c>
      <c r="N2" t="s">
        <v>203</v>
      </c>
      <c r="O2" t="s">
        <v>204</v>
      </c>
      <c r="P2" t="s">
        <v>205</v>
      </c>
      <c r="Q2" t="s">
        <v>206</v>
      </c>
      <c r="R2" t="s">
        <v>207</v>
      </c>
      <c r="S2" t="s">
        <v>848</v>
      </c>
      <c r="T2" t="s">
        <v>849</v>
      </c>
      <c r="U2" t="s">
        <v>850</v>
      </c>
      <c r="V2" t="s">
        <v>852</v>
      </c>
    </row>
    <row r="3" spans="1:22" x14ac:dyDescent="0.3">
      <c r="A3" t="s">
        <v>209</v>
      </c>
      <c r="B3" t="s">
        <v>3325</v>
      </c>
      <c r="C3" t="s">
        <v>853</v>
      </c>
      <c r="D3" t="s">
        <v>854</v>
      </c>
      <c r="E3" t="s">
        <v>855</v>
      </c>
      <c r="F3" t="s">
        <v>856</v>
      </c>
      <c r="G3" t="s">
        <v>857</v>
      </c>
      <c r="H3" t="s">
        <v>858</v>
      </c>
      <c r="I3" t="s">
        <v>859</v>
      </c>
      <c r="J3" t="s">
        <v>860</v>
      </c>
      <c r="K3" t="s">
        <v>861</v>
      </c>
      <c r="L3" t="s">
        <v>862</v>
      </c>
      <c r="M3" t="s">
        <v>863</v>
      </c>
      <c r="N3" t="s">
        <v>864</v>
      </c>
      <c r="O3" t="s">
        <v>865</v>
      </c>
      <c r="P3" t="s">
        <v>866</v>
      </c>
      <c r="Q3" t="s">
        <v>867</v>
      </c>
      <c r="R3" t="s">
        <v>868</v>
      </c>
      <c r="S3" t="s">
        <v>869</v>
      </c>
      <c r="T3" t="s">
        <v>870</v>
      </c>
      <c r="U3" t="s">
        <v>871</v>
      </c>
      <c r="V3" t="s">
        <v>852</v>
      </c>
    </row>
    <row r="4" spans="1:22" x14ac:dyDescent="0.3">
      <c r="A4" t="s">
        <v>873</v>
      </c>
      <c r="B4" t="s">
        <v>3326</v>
      </c>
      <c r="C4" t="s">
        <v>874</v>
      </c>
      <c r="D4" t="s">
        <v>875</v>
      </c>
      <c r="E4" t="s">
        <v>876</v>
      </c>
      <c r="F4" t="s">
        <v>877</v>
      </c>
      <c r="G4" t="s">
        <v>878</v>
      </c>
      <c r="H4" t="s">
        <v>879</v>
      </c>
      <c r="I4" t="s">
        <v>880</v>
      </c>
      <c r="J4" t="s">
        <v>881</v>
      </c>
      <c r="K4" t="s">
        <v>882</v>
      </c>
      <c r="L4" t="s">
        <v>883</v>
      </c>
      <c r="M4" t="s">
        <v>884</v>
      </c>
      <c r="N4" t="s">
        <v>885</v>
      </c>
      <c r="O4" t="s">
        <v>886</v>
      </c>
      <c r="P4" t="s">
        <v>887</v>
      </c>
      <c r="Q4" t="s">
        <v>888</v>
      </c>
      <c r="R4" t="s">
        <v>889</v>
      </c>
      <c r="S4" t="s">
        <v>890</v>
      </c>
      <c r="T4" t="s">
        <v>891</v>
      </c>
      <c r="U4" t="s">
        <v>892</v>
      </c>
      <c r="V4" t="s">
        <v>251</v>
      </c>
    </row>
    <row r="5" spans="1:22" x14ac:dyDescent="0.3">
      <c r="A5" t="s">
        <v>893</v>
      </c>
      <c r="B5" t="s">
        <v>3327</v>
      </c>
      <c r="C5" t="s">
        <v>894</v>
      </c>
      <c r="D5" t="s">
        <v>895</v>
      </c>
      <c r="E5" t="s">
        <v>896</v>
      </c>
      <c r="F5" t="s">
        <v>897</v>
      </c>
      <c r="G5" t="s">
        <v>898</v>
      </c>
      <c r="H5" t="s">
        <v>899</v>
      </c>
      <c r="I5" t="s">
        <v>900</v>
      </c>
      <c r="J5" t="s">
        <v>901</v>
      </c>
      <c r="K5" t="s">
        <v>902</v>
      </c>
      <c r="L5" t="s">
        <v>903</v>
      </c>
      <c r="M5" t="s">
        <v>904</v>
      </c>
      <c r="N5" t="s">
        <v>905</v>
      </c>
      <c r="O5" t="s">
        <v>906</v>
      </c>
      <c r="P5" t="s">
        <v>907</v>
      </c>
      <c r="Q5" t="s">
        <v>908</v>
      </c>
      <c r="R5" t="s">
        <v>909</v>
      </c>
      <c r="S5" t="s">
        <v>910</v>
      </c>
      <c r="T5" t="s">
        <v>911</v>
      </c>
      <c r="U5" t="s">
        <v>912</v>
      </c>
      <c r="V5" t="s">
        <v>251</v>
      </c>
    </row>
    <row r="6" spans="1:22" x14ac:dyDescent="0.3">
      <c r="A6" s="14" t="s">
        <v>913</v>
      </c>
      <c r="B6" t="s">
        <v>3328</v>
      </c>
      <c r="C6" t="s">
        <v>914</v>
      </c>
      <c r="D6" t="s">
        <v>915</v>
      </c>
      <c r="E6" t="s">
        <v>916</v>
      </c>
      <c r="F6" t="s">
        <v>917</v>
      </c>
      <c r="G6" t="s">
        <v>918</v>
      </c>
      <c r="H6" t="s">
        <v>919</v>
      </c>
      <c r="I6" t="s">
        <v>920</v>
      </c>
      <c r="J6" t="s">
        <v>921</v>
      </c>
      <c r="K6" t="s">
        <v>922</v>
      </c>
      <c r="L6" t="s">
        <v>923</v>
      </c>
      <c r="M6" t="s">
        <v>924</v>
      </c>
      <c r="N6" t="s">
        <v>925</v>
      </c>
      <c r="O6" t="s">
        <v>926</v>
      </c>
      <c r="P6" t="s">
        <v>927</v>
      </c>
      <c r="Q6" t="s">
        <v>928</v>
      </c>
      <c r="R6" t="s">
        <v>929</v>
      </c>
      <c r="S6" t="s">
        <v>930</v>
      </c>
      <c r="T6" t="s">
        <v>931</v>
      </c>
      <c r="U6" t="s">
        <v>932</v>
      </c>
      <c r="V6" t="s">
        <v>251</v>
      </c>
    </row>
    <row r="7" spans="1:22" x14ac:dyDescent="0.3">
      <c r="A7" t="s">
        <v>933</v>
      </c>
      <c r="B7" t="s">
        <v>3329</v>
      </c>
      <c r="C7" t="s">
        <v>934</v>
      </c>
      <c r="D7" t="s">
        <v>801</v>
      </c>
      <c r="E7" t="s">
        <v>935</v>
      </c>
      <c r="F7" t="s">
        <v>936</v>
      </c>
      <c r="G7" t="s">
        <v>937</v>
      </c>
      <c r="H7" t="s">
        <v>938</v>
      </c>
      <c r="I7" t="s">
        <v>939</v>
      </c>
      <c r="J7" t="s">
        <v>940</v>
      </c>
      <c r="K7" t="s">
        <v>941</v>
      </c>
      <c r="L7" t="s">
        <v>942</v>
      </c>
      <c r="M7" t="s">
        <v>943</v>
      </c>
      <c r="N7" t="s">
        <v>944</v>
      </c>
      <c r="O7" t="s">
        <v>945</v>
      </c>
      <c r="P7" t="s">
        <v>946</v>
      </c>
      <c r="Q7" t="s">
        <v>947</v>
      </c>
      <c r="R7" t="s">
        <v>948</v>
      </c>
      <c r="S7" t="s">
        <v>807</v>
      </c>
      <c r="T7" t="s">
        <v>949</v>
      </c>
      <c r="U7" t="s">
        <v>950</v>
      </c>
      <c r="V7" t="s">
        <v>251</v>
      </c>
    </row>
    <row r="8" spans="1:22" x14ac:dyDescent="0.3">
      <c r="A8" t="s">
        <v>951</v>
      </c>
      <c r="B8" t="s">
        <v>3330</v>
      </c>
      <c r="C8" t="s">
        <v>952</v>
      </c>
      <c r="D8" t="s">
        <v>953</v>
      </c>
      <c r="E8" t="s">
        <v>954</v>
      </c>
      <c r="F8" t="s">
        <v>955</v>
      </c>
      <c r="G8" t="s">
        <v>956</v>
      </c>
      <c r="H8" t="s">
        <v>957</v>
      </c>
      <c r="I8" t="s">
        <v>958</v>
      </c>
      <c r="J8" t="s">
        <v>959</v>
      </c>
      <c r="K8" t="s">
        <v>960</v>
      </c>
      <c r="L8" t="s">
        <v>961</v>
      </c>
      <c r="M8" t="s">
        <v>962</v>
      </c>
      <c r="N8" t="s">
        <v>963</v>
      </c>
      <c r="O8" t="s">
        <v>964</v>
      </c>
      <c r="P8" t="s">
        <v>965</v>
      </c>
      <c r="Q8" t="s">
        <v>966</v>
      </c>
      <c r="R8" t="s">
        <v>967</v>
      </c>
      <c r="S8" t="s">
        <v>968</v>
      </c>
      <c r="T8" t="s">
        <v>969</v>
      </c>
      <c r="U8" t="s">
        <v>970</v>
      </c>
      <c r="V8" t="s">
        <v>251</v>
      </c>
    </row>
    <row r="9" spans="1:22" x14ac:dyDescent="0.3">
      <c r="A9" t="s">
        <v>971</v>
      </c>
      <c r="B9" t="s">
        <v>1354</v>
      </c>
      <c r="C9" t="s">
        <v>972</v>
      </c>
      <c r="D9" t="s">
        <v>973</v>
      </c>
      <c r="E9" t="s">
        <v>974</v>
      </c>
      <c r="F9" t="s">
        <v>975</v>
      </c>
      <c r="G9" t="s">
        <v>976</v>
      </c>
      <c r="H9" t="s">
        <v>977</v>
      </c>
      <c r="I9" t="s">
        <v>978</v>
      </c>
      <c r="J9" t="s">
        <v>979</v>
      </c>
      <c r="K9" t="s">
        <v>980</v>
      </c>
      <c r="L9" t="s">
        <v>974</v>
      </c>
      <c r="M9" t="s">
        <v>981</v>
      </c>
      <c r="N9" t="s">
        <v>982</v>
      </c>
      <c r="O9" t="s">
        <v>983</v>
      </c>
      <c r="P9" t="s">
        <v>984</v>
      </c>
      <c r="Q9" t="s">
        <v>985</v>
      </c>
      <c r="R9" t="s">
        <v>986</v>
      </c>
      <c r="S9" t="s">
        <v>987</v>
      </c>
      <c r="T9" t="s">
        <v>988</v>
      </c>
      <c r="U9" t="s">
        <v>989</v>
      </c>
      <c r="V9" t="s">
        <v>251</v>
      </c>
    </row>
    <row r="10" spans="1:22" x14ac:dyDescent="0.3">
      <c r="A10" t="s">
        <v>990</v>
      </c>
      <c r="B10" t="s">
        <v>3331</v>
      </c>
      <c r="C10" t="s">
        <v>991</v>
      </c>
      <c r="D10" t="s">
        <v>992</v>
      </c>
      <c r="E10" t="s">
        <v>993</v>
      </c>
      <c r="F10" t="s">
        <v>994</v>
      </c>
      <c r="G10" t="s">
        <v>995</v>
      </c>
      <c r="H10" t="s">
        <v>996</v>
      </c>
      <c r="I10" t="s">
        <v>997</v>
      </c>
      <c r="J10" t="s">
        <v>998</v>
      </c>
      <c r="K10" t="s">
        <v>999</v>
      </c>
      <c r="L10" t="s">
        <v>1000</v>
      </c>
      <c r="M10" t="s">
        <v>1001</v>
      </c>
      <c r="N10" t="s">
        <v>1002</v>
      </c>
      <c r="O10" t="s">
        <v>1003</v>
      </c>
      <c r="P10" t="s">
        <v>1004</v>
      </c>
      <c r="Q10" t="s">
        <v>1005</v>
      </c>
      <c r="R10" t="s">
        <v>1006</v>
      </c>
      <c r="S10" t="s">
        <v>1007</v>
      </c>
      <c r="T10" t="s">
        <v>1008</v>
      </c>
      <c r="U10" t="s">
        <v>1009</v>
      </c>
      <c r="V10" t="s">
        <v>251</v>
      </c>
    </row>
    <row r="11" spans="1:22" x14ac:dyDescent="0.3">
      <c r="A11" t="s">
        <v>1010</v>
      </c>
      <c r="B11" t="s">
        <v>436</v>
      </c>
      <c r="C11" t="s">
        <v>436</v>
      </c>
      <c r="D11" t="s">
        <v>436</v>
      </c>
      <c r="E11" t="s">
        <v>436</v>
      </c>
      <c r="F11" t="s">
        <v>436</v>
      </c>
      <c r="G11" t="s">
        <v>436</v>
      </c>
      <c r="H11" t="s">
        <v>436</v>
      </c>
      <c r="I11" t="s">
        <v>436</v>
      </c>
      <c r="J11" t="s">
        <v>436</v>
      </c>
      <c r="K11" t="s">
        <v>436</v>
      </c>
      <c r="L11" t="s">
        <v>436</v>
      </c>
      <c r="M11" t="s">
        <v>436</v>
      </c>
      <c r="N11" t="s">
        <v>1011</v>
      </c>
      <c r="O11" t="s">
        <v>436</v>
      </c>
      <c r="P11" t="s">
        <v>436</v>
      </c>
      <c r="Q11" t="s">
        <v>436</v>
      </c>
      <c r="R11" t="s">
        <v>1012</v>
      </c>
      <c r="S11" t="s">
        <v>436</v>
      </c>
      <c r="T11" t="s">
        <v>436</v>
      </c>
      <c r="U11" t="s">
        <v>436</v>
      </c>
      <c r="V11" t="s">
        <v>251</v>
      </c>
    </row>
    <row r="12" spans="1:22" x14ac:dyDescent="0.3">
      <c r="A12" t="s">
        <v>485</v>
      </c>
      <c r="B12" t="s">
        <v>3332</v>
      </c>
      <c r="C12" t="s">
        <v>1014</v>
      </c>
      <c r="D12" t="s">
        <v>1015</v>
      </c>
      <c r="E12" t="s">
        <v>1016</v>
      </c>
      <c r="F12" t="s">
        <v>1017</v>
      </c>
      <c r="G12" t="s">
        <v>1018</v>
      </c>
      <c r="H12" t="s">
        <v>1019</v>
      </c>
      <c r="I12" t="s">
        <v>1020</v>
      </c>
      <c r="J12" t="s">
        <v>1021</v>
      </c>
      <c r="K12" t="s">
        <v>1022</v>
      </c>
      <c r="L12" t="s">
        <v>1023</v>
      </c>
      <c r="M12" t="s">
        <v>1024</v>
      </c>
      <c r="N12" t="s">
        <v>1025</v>
      </c>
      <c r="O12" t="s">
        <v>1026</v>
      </c>
      <c r="P12" t="s">
        <v>1027</v>
      </c>
      <c r="Q12" t="s">
        <v>1028</v>
      </c>
      <c r="R12" t="s">
        <v>603</v>
      </c>
      <c r="S12" t="s">
        <v>1029</v>
      </c>
      <c r="T12" t="s">
        <v>1030</v>
      </c>
      <c r="U12" t="s">
        <v>1031</v>
      </c>
      <c r="V12" t="s">
        <v>251</v>
      </c>
    </row>
    <row r="13" spans="1:22" x14ac:dyDescent="0.3">
      <c r="A13" t="s">
        <v>1032</v>
      </c>
      <c r="B13" t="s">
        <v>3333</v>
      </c>
      <c r="C13" t="s">
        <v>1033</v>
      </c>
      <c r="D13" t="s">
        <v>1034</v>
      </c>
      <c r="E13" t="s">
        <v>1035</v>
      </c>
      <c r="F13" t="s">
        <v>1036</v>
      </c>
      <c r="G13" t="s">
        <v>1037</v>
      </c>
      <c r="H13" t="s">
        <v>1038</v>
      </c>
      <c r="I13" t="s">
        <v>1039</v>
      </c>
      <c r="J13" t="s">
        <v>1040</v>
      </c>
      <c r="K13" t="s">
        <v>1041</v>
      </c>
      <c r="L13" t="s">
        <v>1042</v>
      </c>
      <c r="M13" t="s">
        <v>1043</v>
      </c>
      <c r="N13" t="s">
        <v>1044</v>
      </c>
      <c r="O13" t="s">
        <v>1045</v>
      </c>
      <c r="P13" t="s">
        <v>1046</v>
      </c>
      <c r="Q13" t="s">
        <v>1047</v>
      </c>
      <c r="R13" t="s">
        <v>1048</v>
      </c>
      <c r="S13" t="s">
        <v>1049</v>
      </c>
      <c r="T13" t="s">
        <v>1050</v>
      </c>
      <c r="U13" t="s">
        <v>1051</v>
      </c>
      <c r="V13" t="s">
        <v>251</v>
      </c>
    </row>
    <row r="14" spans="1:22" x14ac:dyDescent="0.3">
      <c r="A14" t="s">
        <v>1052</v>
      </c>
      <c r="B14" t="s">
        <v>3334</v>
      </c>
      <c r="C14" t="s">
        <v>1053</v>
      </c>
      <c r="D14" t="s">
        <v>1054</v>
      </c>
      <c r="E14" t="s">
        <v>1055</v>
      </c>
      <c r="F14" t="s">
        <v>1056</v>
      </c>
      <c r="G14" t="s">
        <v>1057</v>
      </c>
      <c r="H14" t="s">
        <v>1058</v>
      </c>
      <c r="I14" t="s">
        <v>1059</v>
      </c>
      <c r="J14" t="s">
        <v>1060</v>
      </c>
      <c r="K14" t="s">
        <v>1061</v>
      </c>
      <c r="L14" t="s">
        <v>1062</v>
      </c>
      <c r="M14" t="s">
        <v>1063</v>
      </c>
      <c r="N14" t="s">
        <v>1064</v>
      </c>
      <c r="O14" t="s">
        <v>1065</v>
      </c>
      <c r="P14" t="s">
        <v>1066</v>
      </c>
      <c r="Q14" t="s">
        <v>1067</v>
      </c>
      <c r="R14" t="s">
        <v>1068</v>
      </c>
      <c r="S14" t="s">
        <v>1069</v>
      </c>
      <c r="T14" t="s">
        <v>1070</v>
      </c>
      <c r="U14" t="s">
        <v>1071</v>
      </c>
      <c r="V14" t="s">
        <v>251</v>
      </c>
    </row>
    <row r="15" spans="1:22" x14ac:dyDescent="0.3">
      <c r="A15" s="14" t="s">
        <v>1072</v>
      </c>
      <c r="B15" t="s">
        <v>3335</v>
      </c>
      <c r="C15" t="s">
        <v>1073</v>
      </c>
      <c r="D15" t="s">
        <v>1074</v>
      </c>
      <c r="E15" t="s">
        <v>1075</v>
      </c>
      <c r="F15" t="s">
        <v>1076</v>
      </c>
      <c r="G15" t="s">
        <v>1077</v>
      </c>
      <c r="H15" t="s">
        <v>1078</v>
      </c>
      <c r="I15" t="s">
        <v>1079</v>
      </c>
      <c r="J15" t="s">
        <v>1080</v>
      </c>
      <c r="K15" t="s">
        <v>1081</v>
      </c>
      <c r="L15" t="s">
        <v>1082</v>
      </c>
      <c r="M15" t="s">
        <v>1083</v>
      </c>
      <c r="N15" t="s">
        <v>1084</v>
      </c>
      <c r="O15" t="s">
        <v>1085</v>
      </c>
      <c r="P15" t="s">
        <v>1086</v>
      </c>
      <c r="Q15" t="s">
        <v>1087</v>
      </c>
      <c r="R15" t="s">
        <v>1088</v>
      </c>
      <c r="S15" t="s">
        <v>1089</v>
      </c>
      <c r="T15" t="s">
        <v>1090</v>
      </c>
      <c r="U15" t="s">
        <v>1091</v>
      </c>
      <c r="V15" t="s">
        <v>251</v>
      </c>
    </row>
    <row r="16" spans="1:22" x14ac:dyDescent="0.3">
      <c r="A16" t="s">
        <v>1093</v>
      </c>
      <c r="B16" t="s">
        <v>3336</v>
      </c>
      <c r="C16" t="s">
        <v>1094</v>
      </c>
      <c r="D16" t="s">
        <v>1095</v>
      </c>
      <c r="E16" t="s">
        <v>1096</v>
      </c>
      <c r="F16" t="s">
        <v>1097</v>
      </c>
      <c r="G16" t="s">
        <v>1098</v>
      </c>
      <c r="H16" t="s">
        <v>1099</v>
      </c>
      <c r="I16" t="s">
        <v>1100</v>
      </c>
      <c r="J16" t="s">
        <v>1101</v>
      </c>
      <c r="K16" t="s">
        <v>1102</v>
      </c>
      <c r="L16" t="s">
        <v>1103</v>
      </c>
      <c r="M16" t="s">
        <v>1104</v>
      </c>
      <c r="N16" t="s">
        <v>1105</v>
      </c>
      <c r="O16" t="s">
        <v>1106</v>
      </c>
      <c r="P16" t="s">
        <v>1107</v>
      </c>
      <c r="Q16" t="s">
        <v>1108</v>
      </c>
      <c r="R16" t="s">
        <v>1109</v>
      </c>
      <c r="S16" t="s">
        <v>1110</v>
      </c>
      <c r="T16" t="s">
        <v>1111</v>
      </c>
      <c r="U16" t="s">
        <v>1112</v>
      </c>
      <c r="V16" t="s">
        <v>251</v>
      </c>
    </row>
    <row r="17" spans="1:22" x14ac:dyDescent="0.3">
      <c r="A17" s="13" t="s">
        <v>1113</v>
      </c>
      <c r="B17" t="s">
        <v>3337</v>
      </c>
      <c r="C17" t="s">
        <v>1114</v>
      </c>
      <c r="D17" t="s">
        <v>1115</v>
      </c>
      <c r="E17" t="s">
        <v>1116</v>
      </c>
      <c r="F17" t="s">
        <v>1117</v>
      </c>
      <c r="G17" t="s">
        <v>1118</v>
      </c>
      <c r="H17" t="s">
        <v>1119</v>
      </c>
      <c r="I17" t="s">
        <v>1120</v>
      </c>
      <c r="J17" t="s">
        <v>1121</v>
      </c>
      <c r="K17" t="s">
        <v>1122</v>
      </c>
      <c r="L17" t="s">
        <v>1123</v>
      </c>
      <c r="M17" t="s">
        <v>1124</v>
      </c>
      <c r="N17" t="s">
        <v>1125</v>
      </c>
      <c r="O17" t="s">
        <v>1126</v>
      </c>
      <c r="P17" t="s">
        <v>1127</v>
      </c>
      <c r="Q17" t="s">
        <v>1128</v>
      </c>
      <c r="R17" t="s">
        <v>1129</v>
      </c>
      <c r="S17" t="s">
        <v>1130</v>
      </c>
      <c r="T17" t="s">
        <v>1131</v>
      </c>
      <c r="U17" t="s">
        <v>1132</v>
      </c>
      <c r="V17" t="s">
        <v>251</v>
      </c>
    </row>
    <row r="18" spans="1:22" x14ac:dyDescent="0.3">
      <c r="A18" t="s">
        <v>230</v>
      </c>
      <c r="B18" t="s">
        <v>3338</v>
      </c>
      <c r="C18" t="s">
        <v>1133</v>
      </c>
      <c r="D18" t="s">
        <v>1134</v>
      </c>
      <c r="E18" t="s">
        <v>1135</v>
      </c>
      <c r="F18" t="s">
        <v>1136</v>
      </c>
      <c r="G18" t="s">
        <v>1137</v>
      </c>
      <c r="H18" t="s">
        <v>1138</v>
      </c>
      <c r="I18" t="s">
        <v>1139</v>
      </c>
      <c r="J18" t="s">
        <v>1140</v>
      </c>
      <c r="K18" t="s">
        <v>1141</v>
      </c>
      <c r="L18" t="s">
        <v>1142</v>
      </c>
      <c r="M18" t="s">
        <v>1143</v>
      </c>
      <c r="N18" t="s">
        <v>1144</v>
      </c>
      <c r="O18" t="s">
        <v>1145</v>
      </c>
      <c r="P18" t="s">
        <v>1146</v>
      </c>
      <c r="Q18" t="s">
        <v>1147</v>
      </c>
      <c r="R18" t="s">
        <v>1148</v>
      </c>
      <c r="S18" t="s">
        <v>1149</v>
      </c>
      <c r="T18" t="s">
        <v>1150</v>
      </c>
      <c r="U18" t="s">
        <v>1151</v>
      </c>
      <c r="V18" t="s">
        <v>251</v>
      </c>
    </row>
    <row r="19" spans="1:22" x14ac:dyDescent="0.3">
      <c r="A19" s="14" t="s">
        <v>252</v>
      </c>
      <c r="B19" t="s">
        <v>3339</v>
      </c>
      <c r="C19" t="s">
        <v>1152</v>
      </c>
      <c r="D19" t="s">
        <v>1153</v>
      </c>
      <c r="E19" t="s">
        <v>1154</v>
      </c>
      <c r="F19" t="s">
        <v>1155</v>
      </c>
      <c r="G19" t="s">
        <v>1156</v>
      </c>
      <c r="H19" t="s">
        <v>1157</v>
      </c>
      <c r="I19" t="s">
        <v>1158</v>
      </c>
      <c r="J19" t="s">
        <v>1159</v>
      </c>
      <c r="K19" t="s">
        <v>1160</v>
      </c>
      <c r="L19" t="s">
        <v>1161</v>
      </c>
      <c r="M19" t="s">
        <v>1162</v>
      </c>
      <c r="N19" t="s">
        <v>1163</v>
      </c>
      <c r="O19" t="s">
        <v>1164</v>
      </c>
      <c r="P19" t="s">
        <v>1165</v>
      </c>
      <c r="Q19" t="s">
        <v>1166</v>
      </c>
      <c r="R19" t="s">
        <v>1167</v>
      </c>
      <c r="S19" t="s">
        <v>1168</v>
      </c>
      <c r="T19" t="s">
        <v>1169</v>
      </c>
      <c r="U19" t="s">
        <v>1170</v>
      </c>
      <c r="V19" t="s">
        <v>251</v>
      </c>
    </row>
    <row r="20" spans="1:22" x14ac:dyDescent="0.3">
      <c r="A20" t="s">
        <v>1171</v>
      </c>
      <c r="B20" t="s">
        <v>3340</v>
      </c>
      <c r="C20" t="s">
        <v>1172</v>
      </c>
      <c r="D20" t="s">
        <v>1173</v>
      </c>
      <c r="E20" t="s">
        <v>1174</v>
      </c>
      <c r="F20" t="s">
        <v>1175</v>
      </c>
      <c r="G20" t="s">
        <v>1176</v>
      </c>
      <c r="H20" t="s">
        <v>1177</v>
      </c>
      <c r="I20" t="s">
        <v>1178</v>
      </c>
      <c r="J20" t="s">
        <v>1179</v>
      </c>
      <c r="K20" t="s">
        <v>1180</v>
      </c>
      <c r="L20" t="s">
        <v>1181</v>
      </c>
      <c r="M20" t="s">
        <v>1182</v>
      </c>
      <c r="N20" t="s">
        <v>1183</v>
      </c>
      <c r="O20" t="s">
        <v>1184</v>
      </c>
      <c r="P20" t="s">
        <v>1185</v>
      </c>
      <c r="Q20" t="s">
        <v>1186</v>
      </c>
      <c r="R20" t="s">
        <v>1187</v>
      </c>
      <c r="S20" t="s">
        <v>1188</v>
      </c>
      <c r="T20" t="s">
        <v>1189</v>
      </c>
      <c r="U20" t="s">
        <v>1190</v>
      </c>
      <c r="V20" t="s">
        <v>251</v>
      </c>
    </row>
    <row r="21" spans="1:22" x14ac:dyDescent="0.3">
      <c r="A21" t="s">
        <v>1191</v>
      </c>
      <c r="B21" t="s">
        <v>3341</v>
      </c>
      <c r="C21" t="s">
        <v>1192</v>
      </c>
      <c r="D21" t="s">
        <v>1193</v>
      </c>
      <c r="E21" t="s">
        <v>1194</v>
      </c>
      <c r="F21" t="s">
        <v>1195</v>
      </c>
      <c r="G21" t="s">
        <v>1196</v>
      </c>
      <c r="H21" t="s">
        <v>1197</v>
      </c>
      <c r="I21" t="s">
        <v>1198</v>
      </c>
      <c r="J21" t="s">
        <v>1199</v>
      </c>
      <c r="K21" t="s">
        <v>1200</v>
      </c>
      <c r="L21" t="s">
        <v>1201</v>
      </c>
      <c r="M21" t="s">
        <v>1202</v>
      </c>
      <c r="N21" t="s">
        <v>1203</v>
      </c>
      <c r="O21" t="s">
        <v>1204</v>
      </c>
      <c r="P21" t="s">
        <v>1205</v>
      </c>
      <c r="Q21" t="s">
        <v>1206</v>
      </c>
      <c r="R21" t="s">
        <v>1207</v>
      </c>
      <c r="S21" t="s">
        <v>1208</v>
      </c>
      <c r="T21" t="s">
        <v>1209</v>
      </c>
      <c r="U21" t="s">
        <v>1210</v>
      </c>
      <c r="V21" t="s">
        <v>251</v>
      </c>
    </row>
    <row r="22" spans="1:22" x14ac:dyDescent="0.3">
      <c r="A22" t="s">
        <v>1211</v>
      </c>
      <c r="B22" t="s">
        <v>3342</v>
      </c>
      <c r="C22" t="s">
        <v>1212</v>
      </c>
      <c r="D22" t="s">
        <v>1213</v>
      </c>
      <c r="E22" t="s">
        <v>1214</v>
      </c>
      <c r="F22" t="s">
        <v>1215</v>
      </c>
      <c r="G22" t="s">
        <v>1216</v>
      </c>
      <c r="H22" t="s">
        <v>1217</v>
      </c>
      <c r="I22" t="s">
        <v>1218</v>
      </c>
      <c r="J22" t="s">
        <v>1219</v>
      </c>
      <c r="K22" t="s">
        <v>1220</v>
      </c>
      <c r="L22" t="s">
        <v>1221</v>
      </c>
      <c r="M22" t="s">
        <v>1128</v>
      </c>
      <c r="N22" t="s">
        <v>1222</v>
      </c>
      <c r="O22" t="s">
        <v>1223</v>
      </c>
      <c r="P22" t="s">
        <v>1224</v>
      </c>
      <c r="Q22" t="s">
        <v>1225</v>
      </c>
      <c r="R22" t="s">
        <v>1226</v>
      </c>
      <c r="S22" t="s">
        <v>1227</v>
      </c>
      <c r="T22" t="s">
        <v>1228</v>
      </c>
      <c r="U22" t="s">
        <v>1229</v>
      </c>
      <c r="V22" t="s">
        <v>251</v>
      </c>
    </row>
    <row r="23" spans="1:22" x14ac:dyDescent="0.3">
      <c r="A23" s="13" t="s">
        <v>1230</v>
      </c>
      <c r="B23" t="s">
        <v>3343</v>
      </c>
      <c r="C23" t="s">
        <v>1231</v>
      </c>
      <c r="D23" t="s">
        <v>1232</v>
      </c>
      <c r="E23" t="s">
        <v>1233</v>
      </c>
      <c r="F23" t="s">
        <v>1234</v>
      </c>
      <c r="G23" t="s">
        <v>1235</v>
      </c>
      <c r="H23" t="s">
        <v>1236</v>
      </c>
      <c r="I23" t="s">
        <v>1237</v>
      </c>
      <c r="J23" t="s">
        <v>1238</v>
      </c>
      <c r="K23" t="s">
        <v>1239</v>
      </c>
      <c r="L23" t="s">
        <v>1240</v>
      </c>
      <c r="M23" t="s">
        <v>1241</v>
      </c>
      <c r="N23" t="s">
        <v>1242</v>
      </c>
      <c r="O23" t="s">
        <v>1243</v>
      </c>
      <c r="P23" t="s">
        <v>1244</v>
      </c>
      <c r="Q23" t="s">
        <v>1245</v>
      </c>
      <c r="R23" t="s">
        <v>1246</v>
      </c>
      <c r="S23" t="s">
        <v>1247</v>
      </c>
      <c r="T23" t="s">
        <v>1248</v>
      </c>
      <c r="U23" t="s">
        <v>1249</v>
      </c>
      <c r="V23" t="s">
        <v>251</v>
      </c>
    </row>
    <row r="24" spans="1:22" x14ac:dyDescent="0.3">
      <c r="A24" t="s">
        <v>460</v>
      </c>
      <c r="B24" t="s">
        <v>3344</v>
      </c>
      <c r="C24" t="s">
        <v>1250</v>
      </c>
      <c r="D24" t="s">
        <v>1251</v>
      </c>
      <c r="E24" t="s">
        <v>1252</v>
      </c>
      <c r="F24" t="s">
        <v>1253</v>
      </c>
      <c r="G24" t="s">
        <v>1254</v>
      </c>
      <c r="H24" t="s">
        <v>1255</v>
      </c>
      <c r="I24" t="s">
        <v>1256</v>
      </c>
      <c r="J24" t="s">
        <v>1257</v>
      </c>
      <c r="K24" t="s">
        <v>1258</v>
      </c>
      <c r="L24" t="s">
        <v>1259</v>
      </c>
      <c r="M24" t="s">
        <v>1260</v>
      </c>
      <c r="N24" t="s">
        <v>1261</v>
      </c>
      <c r="O24" t="s">
        <v>1262</v>
      </c>
      <c r="P24" t="s">
        <v>1263</v>
      </c>
      <c r="Q24" t="s">
        <v>1264</v>
      </c>
      <c r="R24" t="s">
        <v>1265</v>
      </c>
      <c r="S24" t="s">
        <v>1266</v>
      </c>
      <c r="T24" t="s">
        <v>1267</v>
      </c>
      <c r="U24" t="s">
        <v>1268</v>
      </c>
      <c r="V24" t="s">
        <v>251</v>
      </c>
    </row>
    <row r="25" spans="1:22" x14ac:dyDescent="0.3">
      <c r="A25" t="s">
        <v>497</v>
      </c>
      <c r="B25" t="s">
        <v>2271</v>
      </c>
      <c r="C25" t="s">
        <v>1269</v>
      </c>
      <c r="D25" t="s">
        <v>1270</v>
      </c>
      <c r="E25" t="s">
        <v>1271</v>
      </c>
      <c r="F25" t="s">
        <v>1272</v>
      </c>
      <c r="G25" t="s">
        <v>1273</v>
      </c>
      <c r="H25" t="s">
        <v>1274</v>
      </c>
      <c r="I25" t="s">
        <v>1275</v>
      </c>
      <c r="J25" t="s">
        <v>1276</v>
      </c>
      <c r="K25" t="s">
        <v>1277</v>
      </c>
      <c r="L25" t="s">
        <v>1278</v>
      </c>
      <c r="M25" t="s">
        <v>1279</v>
      </c>
      <c r="N25" t="s">
        <v>598</v>
      </c>
      <c r="O25" t="s">
        <v>1280</v>
      </c>
      <c r="P25" t="s">
        <v>1281</v>
      </c>
      <c r="Q25" t="s">
        <v>1282</v>
      </c>
      <c r="R25" t="s">
        <v>1283</v>
      </c>
      <c r="S25" t="s">
        <v>1284</v>
      </c>
      <c r="T25" t="s">
        <v>1285</v>
      </c>
      <c r="U25" t="s">
        <v>1286</v>
      </c>
      <c r="V25" t="s">
        <v>251</v>
      </c>
    </row>
    <row r="26" spans="1:22" x14ac:dyDescent="0.3">
      <c r="A26" t="s">
        <v>1288</v>
      </c>
      <c r="B26" t="s">
        <v>3345</v>
      </c>
      <c r="C26" t="s">
        <v>436</v>
      </c>
      <c r="D26" t="s">
        <v>436</v>
      </c>
      <c r="E26" t="s">
        <v>1289</v>
      </c>
      <c r="F26" t="s">
        <v>436</v>
      </c>
      <c r="G26" t="s">
        <v>436</v>
      </c>
      <c r="H26" t="s">
        <v>1290</v>
      </c>
      <c r="I26" t="s">
        <v>1291</v>
      </c>
      <c r="J26" t="s">
        <v>1292</v>
      </c>
      <c r="K26" t="s">
        <v>1293</v>
      </c>
      <c r="L26" t="s">
        <v>1294</v>
      </c>
      <c r="M26" t="s">
        <v>436</v>
      </c>
      <c r="N26" t="s">
        <v>436</v>
      </c>
      <c r="O26" t="s">
        <v>436</v>
      </c>
      <c r="P26" t="s">
        <v>436</v>
      </c>
      <c r="Q26" t="s">
        <v>436</v>
      </c>
      <c r="R26" t="s">
        <v>436</v>
      </c>
      <c r="S26" t="s">
        <v>436</v>
      </c>
      <c r="T26" t="s">
        <v>436</v>
      </c>
      <c r="U26" t="s">
        <v>436</v>
      </c>
      <c r="V26" t="s">
        <v>251</v>
      </c>
    </row>
    <row r="27" spans="1:22" x14ac:dyDescent="0.3">
      <c r="A27" t="s">
        <v>499</v>
      </c>
      <c r="B27" t="s">
        <v>3346</v>
      </c>
      <c r="C27" t="s">
        <v>1295</v>
      </c>
      <c r="D27" t="s">
        <v>1296</v>
      </c>
      <c r="E27" t="s">
        <v>1297</v>
      </c>
      <c r="F27" t="s">
        <v>1298</v>
      </c>
      <c r="G27" t="s">
        <v>1299</v>
      </c>
      <c r="H27" t="s">
        <v>1300</v>
      </c>
      <c r="I27" t="s">
        <v>1301</v>
      </c>
      <c r="J27" t="s">
        <v>1302</v>
      </c>
      <c r="K27" t="s">
        <v>1303</v>
      </c>
      <c r="L27" t="s">
        <v>1304</v>
      </c>
      <c r="M27" t="s">
        <v>1305</v>
      </c>
      <c r="N27" t="s">
        <v>1306</v>
      </c>
      <c r="O27" t="s">
        <v>1307</v>
      </c>
      <c r="P27" t="s">
        <v>1308</v>
      </c>
      <c r="Q27" t="s">
        <v>1309</v>
      </c>
      <c r="R27" t="s">
        <v>1310</v>
      </c>
      <c r="S27" t="s">
        <v>1311</v>
      </c>
      <c r="T27" t="s">
        <v>1312</v>
      </c>
      <c r="U27" t="s">
        <v>1313</v>
      </c>
      <c r="V27" t="s">
        <v>251</v>
      </c>
    </row>
    <row r="28" spans="1:22" x14ac:dyDescent="0.3">
      <c r="A28" t="s">
        <v>513</v>
      </c>
      <c r="B28" t="s">
        <v>3347</v>
      </c>
      <c r="C28" t="s">
        <v>1314</v>
      </c>
      <c r="D28" t="s">
        <v>1315</v>
      </c>
      <c r="E28" t="s">
        <v>1316</v>
      </c>
      <c r="F28" t="s">
        <v>1317</v>
      </c>
      <c r="G28" t="s">
        <v>1318</v>
      </c>
      <c r="H28" t="s">
        <v>1319</v>
      </c>
      <c r="I28" t="s">
        <v>1320</v>
      </c>
      <c r="J28" t="s">
        <v>1321</v>
      </c>
      <c r="K28" t="s">
        <v>1322</v>
      </c>
      <c r="L28" t="s">
        <v>1323</v>
      </c>
      <c r="M28" t="s">
        <v>1324</v>
      </c>
      <c r="N28" t="s">
        <v>1325</v>
      </c>
      <c r="O28" t="s">
        <v>1326</v>
      </c>
      <c r="P28" t="s">
        <v>1327</v>
      </c>
      <c r="Q28" t="s">
        <v>1328</v>
      </c>
      <c r="R28" t="s">
        <v>1329</v>
      </c>
      <c r="S28" t="s">
        <v>1330</v>
      </c>
      <c r="T28" t="s">
        <v>1331</v>
      </c>
      <c r="U28" t="s">
        <v>1332</v>
      </c>
      <c r="V28" t="s">
        <v>251</v>
      </c>
    </row>
    <row r="29" spans="1:22" x14ac:dyDescent="0.3">
      <c r="A29" t="s">
        <v>568</v>
      </c>
      <c r="B29" t="s">
        <v>3348</v>
      </c>
      <c r="C29" t="s">
        <v>1333</v>
      </c>
      <c r="D29" t="s">
        <v>1334</v>
      </c>
      <c r="E29" t="s">
        <v>1335</v>
      </c>
      <c r="F29" t="s">
        <v>1336</v>
      </c>
      <c r="G29" t="s">
        <v>1337</v>
      </c>
      <c r="H29" t="s">
        <v>1338</v>
      </c>
      <c r="I29" t="s">
        <v>1339</v>
      </c>
      <c r="J29" t="s">
        <v>1340</v>
      </c>
      <c r="K29" t="s">
        <v>1341</v>
      </c>
      <c r="L29" t="s">
        <v>1342</v>
      </c>
      <c r="M29" t="s">
        <v>1343</v>
      </c>
      <c r="N29" t="s">
        <v>1344</v>
      </c>
      <c r="O29" t="s">
        <v>1345</v>
      </c>
      <c r="P29" t="s">
        <v>1346</v>
      </c>
      <c r="Q29" t="s">
        <v>1347</v>
      </c>
      <c r="R29" t="s">
        <v>1348</v>
      </c>
      <c r="S29" t="s">
        <v>1349</v>
      </c>
      <c r="T29" t="s">
        <v>1350</v>
      </c>
      <c r="U29" t="s">
        <v>1351</v>
      </c>
      <c r="V29" t="s">
        <v>251</v>
      </c>
    </row>
    <row r="30" spans="1:22" x14ac:dyDescent="0.3">
      <c r="A30" t="s">
        <v>1352</v>
      </c>
      <c r="B30" t="s">
        <v>1356</v>
      </c>
      <c r="C30" t="s">
        <v>1353</v>
      </c>
      <c r="D30" t="s">
        <v>1354</v>
      </c>
      <c r="E30" t="s">
        <v>1355</v>
      </c>
      <c r="F30" t="s">
        <v>1356</v>
      </c>
      <c r="G30" t="s">
        <v>309</v>
      </c>
      <c r="H30" t="s">
        <v>1357</v>
      </c>
      <c r="I30" t="s">
        <v>1358</v>
      </c>
      <c r="J30" t="s">
        <v>1359</v>
      </c>
      <c r="K30" t="s">
        <v>1360</v>
      </c>
      <c r="L30" t="s">
        <v>1361</v>
      </c>
      <c r="M30" t="s">
        <v>1362</v>
      </c>
      <c r="N30" t="s">
        <v>1363</v>
      </c>
      <c r="O30" t="s">
        <v>1364</v>
      </c>
      <c r="P30" t="s">
        <v>1365</v>
      </c>
      <c r="Q30" t="s">
        <v>1366</v>
      </c>
      <c r="R30" t="s">
        <v>1367</v>
      </c>
      <c r="S30" t="s">
        <v>1368</v>
      </c>
      <c r="T30" t="s">
        <v>1369</v>
      </c>
      <c r="U30" t="s">
        <v>1370</v>
      </c>
      <c r="V30" t="s">
        <v>251</v>
      </c>
    </row>
    <row r="31" spans="1:22" x14ac:dyDescent="0.3">
      <c r="A31" t="s">
        <v>585</v>
      </c>
      <c r="B31" t="s">
        <v>3349</v>
      </c>
      <c r="C31" t="s">
        <v>1371</v>
      </c>
      <c r="D31" t="s">
        <v>1372</v>
      </c>
      <c r="E31" t="s">
        <v>1373</v>
      </c>
      <c r="F31" t="s">
        <v>1374</v>
      </c>
      <c r="G31" t="s">
        <v>1375</v>
      </c>
      <c r="H31" t="s">
        <v>1376</v>
      </c>
      <c r="I31" t="s">
        <v>1377</v>
      </c>
      <c r="J31" t="s">
        <v>1378</v>
      </c>
      <c r="K31" t="s">
        <v>1379</v>
      </c>
      <c r="L31" t="s">
        <v>1380</v>
      </c>
      <c r="M31" t="s">
        <v>1381</v>
      </c>
      <c r="N31" t="s">
        <v>1382</v>
      </c>
      <c r="O31" t="s">
        <v>1383</v>
      </c>
      <c r="P31" t="s">
        <v>1384</v>
      </c>
      <c r="Q31" t="s">
        <v>1385</v>
      </c>
      <c r="R31" t="s">
        <v>1386</v>
      </c>
      <c r="S31" t="s">
        <v>1387</v>
      </c>
      <c r="T31" t="s">
        <v>1388</v>
      </c>
      <c r="U31" t="s">
        <v>1389</v>
      </c>
      <c r="V31" t="s">
        <v>251</v>
      </c>
    </row>
    <row r="32" spans="1:22" x14ac:dyDescent="0.3">
      <c r="A32" s="14" t="s">
        <v>586</v>
      </c>
      <c r="B32" t="s">
        <v>3350</v>
      </c>
      <c r="C32" t="s">
        <v>1390</v>
      </c>
      <c r="D32" t="s">
        <v>1391</v>
      </c>
      <c r="E32" t="s">
        <v>1392</v>
      </c>
      <c r="F32" t="s">
        <v>1393</v>
      </c>
      <c r="G32" t="s">
        <v>1394</v>
      </c>
      <c r="H32" t="s">
        <v>1395</v>
      </c>
      <c r="I32" t="s">
        <v>1396</v>
      </c>
      <c r="J32" t="s">
        <v>1397</v>
      </c>
      <c r="K32" t="s">
        <v>1398</v>
      </c>
      <c r="L32" t="s">
        <v>1399</v>
      </c>
      <c r="M32" t="s">
        <v>1400</v>
      </c>
      <c r="N32" t="s">
        <v>1401</v>
      </c>
      <c r="O32" t="s">
        <v>1402</v>
      </c>
      <c r="P32" t="s">
        <v>1403</v>
      </c>
      <c r="Q32" t="s">
        <v>1404</v>
      </c>
      <c r="R32" t="s">
        <v>1405</v>
      </c>
      <c r="S32" t="s">
        <v>1406</v>
      </c>
      <c r="T32" t="s">
        <v>1407</v>
      </c>
      <c r="U32" t="s">
        <v>1408</v>
      </c>
      <c r="V32" t="s">
        <v>251</v>
      </c>
    </row>
    <row r="33" spans="1:22" x14ac:dyDescent="0.3">
      <c r="A33" t="s">
        <v>1409</v>
      </c>
      <c r="B33" t="s">
        <v>3351</v>
      </c>
      <c r="C33" t="s">
        <v>1121</v>
      </c>
      <c r="D33" t="s">
        <v>1410</v>
      </c>
      <c r="E33" t="s">
        <v>1411</v>
      </c>
      <c r="F33" t="s">
        <v>1412</v>
      </c>
      <c r="G33" t="s">
        <v>1413</v>
      </c>
      <c r="H33" t="s">
        <v>1414</v>
      </c>
      <c r="I33" t="s">
        <v>1415</v>
      </c>
      <c r="J33" t="s">
        <v>1416</v>
      </c>
      <c r="K33" t="s">
        <v>1417</v>
      </c>
      <c r="L33" t="s">
        <v>1418</v>
      </c>
      <c r="M33" t="s">
        <v>1419</v>
      </c>
      <c r="N33" t="s">
        <v>1420</v>
      </c>
      <c r="O33" t="s">
        <v>1421</v>
      </c>
      <c r="P33" t="s">
        <v>1422</v>
      </c>
      <c r="Q33" t="s">
        <v>1423</v>
      </c>
      <c r="R33" t="s">
        <v>1423</v>
      </c>
      <c r="S33" t="s">
        <v>1424</v>
      </c>
      <c r="T33" t="s">
        <v>1425</v>
      </c>
      <c r="U33" t="s">
        <v>1426</v>
      </c>
      <c r="V33" t="s">
        <v>251</v>
      </c>
    </row>
    <row r="34" spans="1:22" x14ac:dyDescent="0.3">
      <c r="A34" t="s">
        <v>1427</v>
      </c>
      <c r="B34" t="s">
        <v>3352</v>
      </c>
      <c r="C34" t="s">
        <v>1428</v>
      </c>
      <c r="D34" t="s">
        <v>1429</v>
      </c>
      <c r="E34" t="s">
        <v>1430</v>
      </c>
      <c r="F34" t="s">
        <v>1431</v>
      </c>
      <c r="G34" t="s">
        <v>1432</v>
      </c>
      <c r="H34" t="s">
        <v>1433</v>
      </c>
      <c r="I34" t="s">
        <v>1434</v>
      </c>
      <c r="J34" t="s">
        <v>1435</v>
      </c>
      <c r="K34" t="s">
        <v>1436</v>
      </c>
      <c r="L34" t="s">
        <v>1437</v>
      </c>
      <c r="M34" t="s">
        <v>1438</v>
      </c>
      <c r="N34" t="s">
        <v>1439</v>
      </c>
      <c r="O34" t="s">
        <v>1440</v>
      </c>
      <c r="P34" t="s">
        <v>1441</v>
      </c>
      <c r="Q34" t="s">
        <v>1442</v>
      </c>
      <c r="R34" t="s">
        <v>1443</v>
      </c>
      <c r="S34" t="s">
        <v>1444</v>
      </c>
      <c r="T34" t="s">
        <v>1445</v>
      </c>
      <c r="U34" t="s">
        <v>1446</v>
      </c>
      <c r="V34" t="s">
        <v>251</v>
      </c>
    </row>
    <row r="35" spans="1:22" x14ac:dyDescent="0.3">
      <c r="A35" t="s">
        <v>611</v>
      </c>
      <c r="B35" t="s">
        <v>3353</v>
      </c>
      <c r="C35" t="s">
        <v>1447</v>
      </c>
      <c r="D35" t="s">
        <v>1448</v>
      </c>
      <c r="E35" t="s">
        <v>1449</v>
      </c>
      <c r="F35" t="s">
        <v>1450</v>
      </c>
      <c r="G35" t="s">
        <v>1451</v>
      </c>
      <c r="H35" t="s">
        <v>1452</v>
      </c>
      <c r="I35" t="s">
        <v>1453</v>
      </c>
      <c r="J35" t="s">
        <v>1454</v>
      </c>
      <c r="K35" t="s">
        <v>1455</v>
      </c>
      <c r="L35" t="s">
        <v>1456</v>
      </c>
      <c r="M35" t="s">
        <v>1457</v>
      </c>
      <c r="N35" t="s">
        <v>1458</v>
      </c>
      <c r="O35" t="s">
        <v>1459</v>
      </c>
      <c r="P35" t="s">
        <v>1460</v>
      </c>
      <c r="Q35" t="s">
        <v>1461</v>
      </c>
      <c r="R35" t="s">
        <v>1462</v>
      </c>
      <c r="S35" t="s">
        <v>1463</v>
      </c>
      <c r="T35" t="s">
        <v>1464</v>
      </c>
      <c r="U35" t="s">
        <v>1465</v>
      </c>
      <c r="V35" t="s">
        <v>251</v>
      </c>
    </row>
    <row r="36" spans="1:22" x14ac:dyDescent="0.3">
      <c r="A36" t="s">
        <v>632</v>
      </c>
      <c r="B36" t="s">
        <v>3354</v>
      </c>
      <c r="C36" t="s">
        <v>1466</v>
      </c>
      <c r="D36" t="s">
        <v>1467</v>
      </c>
      <c r="E36" t="s">
        <v>1466</v>
      </c>
      <c r="F36" t="s">
        <v>1468</v>
      </c>
      <c r="G36" t="s">
        <v>1469</v>
      </c>
      <c r="H36" t="s">
        <v>1470</v>
      </c>
      <c r="I36" t="s">
        <v>1471</v>
      </c>
      <c r="J36" t="s">
        <v>1472</v>
      </c>
      <c r="K36" t="s">
        <v>1473</v>
      </c>
      <c r="L36" t="s">
        <v>1474</v>
      </c>
      <c r="M36" t="s">
        <v>1475</v>
      </c>
      <c r="N36" t="s">
        <v>1476</v>
      </c>
      <c r="O36" t="s">
        <v>1477</v>
      </c>
      <c r="P36" t="s">
        <v>1478</v>
      </c>
      <c r="Q36" t="s">
        <v>1479</v>
      </c>
      <c r="R36" t="s">
        <v>1480</v>
      </c>
      <c r="S36" t="s">
        <v>1481</v>
      </c>
      <c r="T36" t="s">
        <v>1482</v>
      </c>
      <c r="U36" t="s">
        <v>1483</v>
      </c>
      <c r="V36" t="s">
        <v>251</v>
      </c>
    </row>
    <row r="37" spans="1:22" x14ac:dyDescent="0.3">
      <c r="A37" s="14" t="s">
        <v>650</v>
      </c>
      <c r="B37" t="s">
        <v>3355</v>
      </c>
      <c r="C37" t="s">
        <v>1484</v>
      </c>
      <c r="D37" t="s">
        <v>1485</v>
      </c>
      <c r="E37" t="s">
        <v>1484</v>
      </c>
      <c r="F37" t="s">
        <v>1486</v>
      </c>
      <c r="G37" t="s">
        <v>1487</v>
      </c>
      <c r="H37" t="s">
        <v>1488</v>
      </c>
      <c r="I37" t="s">
        <v>1489</v>
      </c>
      <c r="J37" t="s">
        <v>1472</v>
      </c>
      <c r="K37" t="s">
        <v>1473</v>
      </c>
      <c r="L37" t="s">
        <v>1490</v>
      </c>
      <c r="M37" t="s">
        <v>1491</v>
      </c>
      <c r="N37" t="s">
        <v>1476</v>
      </c>
      <c r="O37" t="s">
        <v>1492</v>
      </c>
      <c r="P37" t="s">
        <v>1493</v>
      </c>
      <c r="Q37" t="s">
        <v>1494</v>
      </c>
      <c r="R37" t="s">
        <v>1480</v>
      </c>
      <c r="S37" t="s">
        <v>1481</v>
      </c>
      <c r="T37" t="s">
        <v>1495</v>
      </c>
      <c r="U37" t="s">
        <v>1496</v>
      </c>
      <c r="V37" t="s">
        <v>251</v>
      </c>
    </row>
    <row r="38" spans="1:22" x14ac:dyDescent="0.3">
      <c r="A38" t="s">
        <v>652</v>
      </c>
      <c r="B38" t="s">
        <v>3356</v>
      </c>
      <c r="C38" t="s">
        <v>1497</v>
      </c>
      <c r="D38" t="s">
        <v>1498</v>
      </c>
      <c r="E38" t="s">
        <v>1499</v>
      </c>
      <c r="F38" t="s">
        <v>1500</v>
      </c>
      <c r="G38" t="s">
        <v>1501</v>
      </c>
      <c r="H38" t="s">
        <v>1502</v>
      </c>
      <c r="I38" t="s">
        <v>1503</v>
      </c>
      <c r="J38" t="s">
        <v>1504</v>
      </c>
      <c r="K38" t="s">
        <v>1505</v>
      </c>
      <c r="L38" t="s">
        <v>1506</v>
      </c>
      <c r="M38" t="s">
        <v>1507</v>
      </c>
      <c r="N38" t="s">
        <v>1508</v>
      </c>
      <c r="O38" t="s">
        <v>1509</v>
      </c>
      <c r="P38" t="s">
        <v>1510</v>
      </c>
      <c r="Q38" t="s">
        <v>1511</v>
      </c>
      <c r="R38" t="s">
        <v>1512</v>
      </c>
      <c r="S38" t="s">
        <v>1513</v>
      </c>
      <c r="T38" t="s">
        <v>1514</v>
      </c>
      <c r="U38" t="s">
        <v>1515</v>
      </c>
      <c r="V38" t="s">
        <v>251</v>
      </c>
    </row>
    <row r="39" spans="1:22" x14ac:dyDescent="0.3">
      <c r="A39" s="14" t="s">
        <v>1516</v>
      </c>
      <c r="B39" t="s">
        <v>1517</v>
      </c>
      <c r="C39" t="s">
        <v>1517</v>
      </c>
      <c r="D39" t="s">
        <v>1518</v>
      </c>
      <c r="E39" t="s">
        <v>1518</v>
      </c>
      <c r="F39" t="s">
        <v>1519</v>
      </c>
      <c r="G39" t="s">
        <v>1519</v>
      </c>
      <c r="H39" t="s">
        <v>1520</v>
      </c>
      <c r="I39" t="s">
        <v>1520</v>
      </c>
      <c r="J39" t="s">
        <v>1521</v>
      </c>
      <c r="K39" t="s">
        <v>1521</v>
      </c>
      <c r="L39" t="s">
        <v>1522</v>
      </c>
      <c r="M39" t="s">
        <v>1522</v>
      </c>
      <c r="N39" t="s">
        <v>1522</v>
      </c>
      <c r="O39" t="s">
        <v>1522</v>
      </c>
      <c r="P39" t="s">
        <v>1522</v>
      </c>
      <c r="Q39" t="s">
        <v>1522</v>
      </c>
      <c r="R39" t="s">
        <v>1522</v>
      </c>
      <c r="S39" t="s">
        <v>1522</v>
      </c>
      <c r="T39" t="s">
        <v>1523</v>
      </c>
      <c r="U39" t="s">
        <v>1523</v>
      </c>
      <c r="V39" t="s">
        <v>251</v>
      </c>
    </row>
    <row r="40" spans="1:22" x14ac:dyDescent="0.3">
      <c r="A40" s="14" t="s">
        <v>1524</v>
      </c>
      <c r="B40" t="s">
        <v>1525</v>
      </c>
      <c r="C40" t="s">
        <v>1525</v>
      </c>
      <c r="D40" t="s">
        <v>1526</v>
      </c>
      <c r="E40" t="s">
        <v>1526</v>
      </c>
      <c r="F40" t="s">
        <v>1527</v>
      </c>
      <c r="G40" t="s">
        <v>1527</v>
      </c>
      <c r="H40" t="s">
        <v>1528</v>
      </c>
      <c r="I40" t="s">
        <v>1528</v>
      </c>
      <c r="J40" t="s">
        <v>1529</v>
      </c>
      <c r="K40" t="s">
        <v>1529</v>
      </c>
      <c r="L40" t="s">
        <v>436</v>
      </c>
      <c r="M40" t="s">
        <v>436</v>
      </c>
      <c r="N40" t="s">
        <v>436</v>
      </c>
      <c r="O40" t="s">
        <v>436</v>
      </c>
      <c r="P40" t="s">
        <v>1530</v>
      </c>
      <c r="Q40" t="s">
        <v>1530</v>
      </c>
      <c r="R40" t="s">
        <v>1530</v>
      </c>
      <c r="S40" t="s">
        <v>1530</v>
      </c>
      <c r="T40" t="s">
        <v>436</v>
      </c>
      <c r="U40" t="s">
        <v>436</v>
      </c>
      <c r="V40" t="s">
        <v>251</v>
      </c>
    </row>
    <row r="41" spans="1:22" x14ac:dyDescent="0.3">
      <c r="A41" t="s">
        <v>840</v>
      </c>
      <c r="B41" t="s">
        <v>3357</v>
      </c>
      <c r="C41" t="s">
        <v>1531</v>
      </c>
      <c r="D41" t="s">
        <v>1532</v>
      </c>
      <c r="E41" t="s">
        <v>1533</v>
      </c>
      <c r="F41" t="s">
        <v>1534</v>
      </c>
      <c r="G41" t="s">
        <v>1535</v>
      </c>
      <c r="H41" t="s">
        <v>1536</v>
      </c>
      <c r="I41" t="s">
        <v>1537</v>
      </c>
      <c r="J41" t="s">
        <v>1538</v>
      </c>
      <c r="K41" t="s">
        <v>1539</v>
      </c>
      <c r="L41" t="s">
        <v>1540</v>
      </c>
      <c r="M41" t="s">
        <v>1541</v>
      </c>
      <c r="N41" t="s">
        <v>1542</v>
      </c>
      <c r="O41" t="s">
        <v>1543</v>
      </c>
      <c r="P41" t="s">
        <v>1544</v>
      </c>
      <c r="Q41" t="s">
        <v>1545</v>
      </c>
      <c r="R41" t="s">
        <v>1546</v>
      </c>
      <c r="S41" t="s">
        <v>1547</v>
      </c>
      <c r="T41" t="s">
        <v>1548</v>
      </c>
      <c r="U41" t="s">
        <v>1549</v>
      </c>
      <c r="V41" t="s">
        <v>251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F8CBE-2395-46AE-899F-54C2707BBAE7}">
  <dimension ref="A5:Z109"/>
  <sheetViews>
    <sheetView tabSelected="1" zoomScale="70" zoomScaleNormal="70" workbookViewId="0"/>
  </sheetViews>
  <sheetFormatPr defaultRowHeight="14.4" x14ac:dyDescent="0.3"/>
  <cols>
    <col min="1" max="1" width="34.88671875" bestFit="1" customWidth="1"/>
    <col min="2" max="2" width="17.6640625" bestFit="1" customWidth="1"/>
    <col min="3" max="3" width="17.21875" bestFit="1" customWidth="1"/>
    <col min="4" max="4" width="18.5546875" bestFit="1" customWidth="1"/>
    <col min="5" max="5" width="35" bestFit="1" customWidth="1"/>
    <col min="6" max="6" width="17.6640625" bestFit="1" customWidth="1"/>
    <col min="7" max="7" width="17.21875" bestFit="1" customWidth="1"/>
    <col min="8" max="8" width="18.5546875" bestFit="1" customWidth="1"/>
    <col min="9" max="9" width="18.109375" bestFit="1" customWidth="1"/>
    <col min="10" max="10" width="17.6640625" bestFit="1" customWidth="1"/>
    <col min="11" max="11" width="17.21875" bestFit="1" customWidth="1"/>
    <col min="12" max="12" width="18.5546875" bestFit="1" customWidth="1"/>
    <col min="13" max="13" width="18.109375" bestFit="1" customWidth="1"/>
    <col min="14" max="14" width="17.6640625" bestFit="1" customWidth="1"/>
    <col min="15" max="15" width="17.21875" bestFit="1" customWidth="1"/>
    <col min="16" max="16" width="18.5546875" bestFit="1" customWidth="1"/>
    <col min="17" max="17" width="18.109375" bestFit="1" customWidth="1"/>
    <col min="18" max="18" width="17.6640625" bestFit="1" customWidth="1"/>
    <col min="19" max="19" width="17.21875" bestFit="1" customWidth="1"/>
    <col min="20" max="20" width="18.5546875" bestFit="1" customWidth="1"/>
    <col min="21" max="21" width="18.109375" bestFit="1" customWidth="1"/>
    <col min="22" max="22" width="11.77734375" bestFit="1" customWidth="1"/>
  </cols>
  <sheetData>
    <row r="5" spans="5:26" x14ac:dyDescent="0.3">
      <c r="F5" t="s">
        <v>191</v>
      </c>
      <c r="G5" t="s">
        <v>192</v>
      </c>
      <c r="H5" t="s">
        <v>193</v>
      </c>
      <c r="I5" t="s">
        <v>194</v>
      </c>
      <c r="J5" t="s">
        <v>195</v>
      </c>
      <c r="K5" t="s">
        <v>196</v>
      </c>
      <c r="L5" t="s">
        <v>197</v>
      </c>
      <c r="M5" t="s">
        <v>198</v>
      </c>
      <c r="N5" t="s">
        <v>199</v>
      </c>
      <c r="O5" t="s">
        <v>200</v>
      </c>
      <c r="P5" t="s">
        <v>201</v>
      </c>
      <c r="Q5" t="s">
        <v>202</v>
      </c>
      <c r="R5" t="s">
        <v>203</v>
      </c>
      <c r="S5" t="s">
        <v>204</v>
      </c>
      <c r="T5" t="s">
        <v>205</v>
      </c>
      <c r="U5" t="s">
        <v>206</v>
      </c>
      <c r="V5" t="s">
        <v>207</v>
      </c>
      <c r="W5" t="s">
        <v>848</v>
      </c>
      <c r="X5" t="s">
        <v>849</v>
      </c>
      <c r="Y5" t="s">
        <v>850</v>
      </c>
      <c r="Z5" t="s">
        <v>852</v>
      </c>
    </row>
    <row r="6" spans="5:26" x14ac:dyDescent="0.3">
      <c r="E6" s="17" t="s">
        <v>209</v>
      </c>
      <c r="F6" s="13" t="s">
        <v>3325</v>
      </c>
      <c r="G6" s="15" t="s">
        <v>853</v>
      </c>
      <c r="H6" t="s">
        <v>854</v>
      </c>
      <c r="I6" s="15" t="s">
        <v>855</v>
      </c>
      <c r="J6" s="15" t="s">
        <v>856</v>
      </c>
      <c r="K6" s="15" t="s">
        <v>857</v>
      </c>
      <c r="L6" s="13" t="s">
        <v>858</v>
      </c>
      <c r="M6" s="13" t="s">
        <v>859</v>
      </c>
      <c r="N6" s="13" t="s">
        <v>860</v>
      </c>
      <c r="O6" s="15" t="s">
        <v>861</v>
      </c>
      <c r="P6" s="15" t="s">
        <v>862</v>
      </c>
      <c r="Q6" t="s">
        <v>863</v>
      </c>
      <c r="R6" t="s">
        <v>864</v>
      </c>
      <c r="S6" t="s">
        <v>865</v>
      </c>
      <c r="T6" t="s">
        <v>866</v>
      </c>
      <c r="U6" t="s">
        <v>867</v>
      </c>
      <c r="V6" t="s">
        <v>868</v>
      </c>
      <c r="W6" t="s">
        <v>869</v>
      </c>
      <c r="X6" t="s">
        <v>870</v>
      </c>
      <c r="Y6" t="s">
        <v>871</v>
      </c>
      <c r="Z6" t="s">
        <v>852</v>
      </c>
    </row>
    <row r="7" spans="5:26" x14ac:dyDescent="0.3">
      <c r="E7" s="16" t="s">
        <v>873</v>
      </c>
      <c r="F7" s="8">
        <v>48808</v>
      </c>
      <c r="G7" s="8">
        <v>49439</v>
      </c>
      <c r="H7" s="8">
        <v>48241</v>
      </c>
      <c r="I7" s="8">
        <v>46853</v>
      </c>
      <c r="J7" s="8">
        <v>47566</v>
      </c>
      <c r="K7" s="8">
        <v>50416</v>
      </c>
      <c r="L7" s="8">
        <v>48513</v>
      </c>
      <c r="M7" s="8">
        <v>47438</v>
      </c>
      <c r="N7" s="8">
        <v>47384</v>
      </c>
      <c r="O7" s="8">
        <v>44556</v>
      </c>
      <c r="P7" s="8">
        <v>41644</v>
      </c>
      <c r="Q7" s="8">
        <v>37004</v>
      </c>
      <c r="R7" s="8">
        <v>33054</v>
      </c>
      <c r="S7" s="8">
        <v>25611</v>
      </c>
      <c r="T7" s="8">
        <v>18646</v>
      </c>
      <c r="U7" s="8">
        <v>15496</v>
      </c>
      <c r="V7" s="8">
        <v>15019</v>
      </c>
      <c r="W7" s="8">
        <v>14480</v>
      </c>
      <c r="X7" s="8">
        <v>14094</v>
      </c>
      <c r="Y7" s="8">
        <v>14271</v>
      </c>
      <c r="Z7" t="s">
        <v>251</v>
      </c>
    </row>
    <row r="8" spans="5:26" x14ac:dyDescent="0.3">
      <c r="E8" s="17" t="s">
        <v>893</v>
      </c>
      <c r="F8" s="8">
        <v>23813</v>
      </c>
      <c r="G8" s="8">
        <v>25473</v>
      </c>
      <c r="H8" s="8">
        <v>25032</v>
      </c>
      <c r="I8" s="8">
        <v>23580</v>
      </c>
      <c r="J8" s="8">
        <v>24216</v>
      </c>
      <c r="K8" s="8">
        <v>27011</v>
      </c>
      <c r="L8" s="8">
        <v>25767</v>
      </c>
      <c r="M8" s="8">
        <v>24356</v>
      </c>
      <c r="N8" s="8">
        <v>23333</v>
      </c>
      <c r="O8" s="8">
        <v>21830</v>
      </c>
      <c r="P8" s="8">
        <v>19865</v>
      </c>
      <c r="Q8" s="8">
        <v>16293</v>
      </c>
      <c r="R8" s="8">
        <v>12862</v>
      </c>
      <c r="S8" s="8">
        <v>8093</v>
      </c>
      <c r="T8" s="8">
        <v>3518</v>
      </c>
      <c r="U8" s="8">
        <v>1624</v>
      </c>
      <c r="V8" s="8">
        <v>1418</v>
      </c>
      <c r="W8" s="8">
        <v>1400</v>
      </c>
      <c r="X8" s="8">
        <v>1353</v>
      </c>
      <c r="Y8" s="8">
        <v>1382</v>
      </c>
      <c r="Z8" t="s">
        <v>251</v>
      </c>
    </row>
    <row r="9" spans="5:26" x14ac:dyDescent="0.3">
      <c r="E9" s="19" t="s">
        <v>913</v>
      </c>
      <c r="F9" s="8">
        <v>24995</v>
      </c>
      <c r="G9" s="8">
        <v>23966</v>
      </c>
      <c r="H9" s="8">
        <v>23209</v>
      </c>
      <c r="I9" s="8">
        <v>23273</v>
      </c>
      <c r="J9" s="8">
        <v>23350</v>
      </c>
      <c r="K9" s="8">
        <v>23405</v>
      </c>
      <c r="L9" s="8">
        <v>22746</v>
      </c>
      <c r="M9" s="8">
        <v>23082</v>
      </c>
      <c r="N9" s="8">
        <v>24051</v>
      </c>
      <c r="O9" s="8">
        <v>22726</v>
      </c>
      <c r="P9" s="8">
        <v>21779</v>
      </c>
      <c r="Q9" s="8">
        <v>20711</v>
      </c>
      <c r="R9" s="8">
        <v>20192</v>
      </c>
      <c r="S9" s="8">
        <v>17518</v>
      </c>
      <c r="T9" s="8">
        <v>15128</v>
      </c>
      <c r="U9" s="8">
        <v>13872</v>
      </c>
      <c r="V9" s="8">
        <v>13601</v>
      </c>
      <c r="W9" s="8">
        <v>13080</v>
      </c>
      <c r="X9" s="8">
        <v>12741</v>
      </c>
      <c r="Y9" s="8">
        <v>12889</v>
      </c>
      <c r="Z9" t="s">
        <v>251</v>
      </c>
    </row>
    <row r="10" spans="5:26" x14ac:dyDescent="0.3">
      <c r="E10" s="17" t="s">
        <v>933</v>
      </c>
      <c r="F10" s="21">
        <v>7.0400000000000004E-2</v>
      </c>
      <c r="G10" s="21">
        <v>2.4E-2</v>
      </c>
      <c r="H10" s="21">
        <v>2.0400000000000001E-2</v>
      </c>
      <c r="I10" s="21">
        <v>8.3000000000000001E-3</v>
      </c>
      <c r="J10" s="21">
        <v>-2.92E-2</v>
      </c>
      <c r="K10" s="21">
        <v>2.9899999999999999E-2</v>
      </c>
      <c r="L10" s="21">
        <v>4.4400000000000002E-2</v>
      </c>
      <c r="M10" s="21">
        <v>0.1145</v>
      </c>
      <c r="N10" s="21">
        <v>0.19109999999999999</v>
      </c>
      <c r="O10" s="21">
        <v>0.29730000000000001</v>
      </c>
      <c r="P10" s="21">
        <v>0.43959999999999999</v>
      </c>
      <c r="Q10" s="21">
        <v>0.49299999999999999</v>
      </c>
      <c r="R10" s="21">
        <v>0.48459999999999998</v>
      </c>
      <c r="S10" s="21">
        <v>0.33929999999999999</v>
      </c>
      <c r="T10" s="21">
        <v>0.18729999999999999</v>
      </c>
      <c r="U10" s="21">
        <v>7.6300000000000007E-2</v>
      </c>
      <c r="V10" s="21">
        <v>2.5899999999999999E-2</v>
      </c>
      <c r="W10" s="21">
        <v>5.1999999999999998E-3</v>
      </c>
      <c r="X10" s="21">
        <v>-8.0299999999999996E-2</v>
      </c>
      <c r="Y10" s="21">
        <v>-0.10730000000000001</v>
      </c>
      <c r="Z10" t="s">
        <v>251</v>
      </c>
    </row>
    <row r="11" spans="5:26" x14ac:dyDescent="0.3">
      <c r="E11" s="16" t="s">
        <v>951</v>
      </c>
      <c r="F11" s="8">
        <v>5701</v>
      </c>
      <c r="G11" s="8">
        <v>5120</v>
      </c>
      <c r="H11" s="8">
        <v>4806</v>
      </c>
      <c r="I11" s="8">
        <v>4700</v>
      </c>
      <c r="J11" s="8">
        <v>4874</v>
      </c>
      <c r="K11" s="8">
        <v>4479</v>
      </c>
      <c r="L11" s="8">
        <v>4302</v>
      </c>
      <c r="M11" s="8">
        <v>4146</v>
      </c>
      <c r="N11" s="8">
        <v>4077</v>
      </c>
      <c r="O11" s="8">
        <v>3904</v>
      </c>
      <c r="P11" s="8">
        <v>3774</v>
      </c>
      <c r="Q11" s="8">
        <v>3465</v>
      </c>
      <c r="R11" s="8">
        <v>3432</v>
      </c>
      <c r="S11" s="8">
        <v>3495</v>
      </c>
      <c r="T11" s="8">
        <v>3517</v>
      </c>
      <c r="U11" s="8">
        <v>3652</v>
      </c>
      <c r="V11" s="8">
        <v>5549</v>
      </c>
      <c r="W11" s="8">
        <v>5257</v>
      </c>
      <c r="X11" s="8">
        <v>5194</v>
      </c>
      <c r="Y11" s="8">
        <v>5029</v>
      </c>
      <c r="Z11" t="s">
        <v>251</v>
      </c>
    </row>
    <row r="12" spans="5:26" x14ac:dyDescent="0.3">
      <c r="E12" s="17" t="s">
        <v>971</v>
      </c>
      <c r="F12">
        <v>357</v>
      </c>
      <c r="G12">
        <v>383</v>
      </c>
      <c r="H12">
        <v>363</v>
      </c>
      <c r="I12">
        <v>278</v>
      </c>
      <c r="J12">
        <v>376</v>
      </c>
      <c r="K12">
        <v>402</v>
      </c>
      <c r="L12">
        <v>348</v>
      </c>
      <c r="M12">
        <v>275</v>
      </c>
      <c r="N12">
        <v>263</v>
      </c>
      <c r="O12">
        <v>414</v>
      </c>
      <c r="P12">
        <v>278</v>
      </c>
      <c r="Q12">
        <v>221</v>
      </c>
      <c r="R12">
        <v>98</v>
      </c>
      <c r="S12">
        <v>314</v>
      </c>
      <c r="T12">
        <v>378</v>
      </c>
      <c r="U12">
        <v>460</v>
      </c>
      <c r="V12">
        <v>315</v>
      </c>
      <c r="W12">
        <v>600</v>
      </c>
      <c r="X12">
        <v>551</v>
      </c>
      <c r="Y12">
        <v>704</v>
      </c>
      <c r="Z12" t="s">
        <v>251</v>
      </c>
    </row>
    <row r="13" spans="5:26" x14ac:dyDescent="0.3">
      <c r="E13" s="16" t="s">
        <v>990</v>
      </c>
      <c r="F13" s="8">
        <v>5340</v>
      </c>
      <c r="G13" s="8">
        <v>7109</v>
      </c>
      <c r="H13" s="8">
        <v>7149</v>
      </c>
      <c r="I13" s="8">
        <v>7614</v>
      </c>
      <c r="J13" s="8">
        <v>5195</v>
      </c>
      <c r="K13" s="8">
        <v>5988</v>
      </c>
      <c r="L13" s="8">
        <v>6814</v>
      </c>
      <c r="M13" s="8">
        <v>6790</v>
      </c>
      <c r="N13" s="8">
        <v>3725</v>
      </c>
      <c r="O13" s="8">
        <v>6210</v>
      </c>
      <c r="P13" s="8">
        <v>6910</v>
      </c>
      <c r="Q13" s="8">
        <v>7615</v>
      </c>
      <c r="R13" s="8">
        <v>4434</v>
      </c>
      <c r="S13" s="8">
        <v>5383</v>
      </c>
      <c r="T13" s="8">
        <v>4990</v>
      </c>
      <c r="U13" s="8">
        <v>5105</v>
      </c>
      <c r="V13" s="8">
        <v>2182</v>
      </c>
      <c r="W13" s="8">
        <v>3546</v>
      </c>
      <c r="X13" s="8">
        <v>4076</v>
      </c>
      <c r="Y13" s="8">
        <v>6500</v>
      </c>
      <c r="Z13" t="s">
        <v>251</v>
      </c>
    </row>
    <row r="14" spans="5:26" x14ac:dyDescent="0.3">
      <c r="E14" s="17" t="s">
        <v>1010</v>
      </c>
      <c r="F14" s="3" t="s">
        <v>436</v>
      </c>
      <c r="G14" s="3" t="s">
        <v>436</v>
      </c>
      <c r="H14" s="3" t="s">
        <v>436</v>
      </c>
      <c r="I14" s="3" t="s">
        <v>436</v>
      </c>
      <c r="J14" s="3" t="s">
        <v>436</v>
      </c>
      <c r="K14" s="3" t="s">
        <v>436</v>
      </c>
      <c r="L14" s="3" t="s">
        <v>436</v>
      </c>
      <c r="M14" s="3" t="s">
        <v>436</v>
      </c>
      <c r="N14" s="3" t="s">
        <v>436</v>
      </c>
      <c r="O14" t="s">
        <v>436</v>
      </c>
      <c r="P14" t="s">
        <v>436</v>
      </c>
      <c r="Q14" t="s">
        <v>436</v>
      </c>
      <c r="R14">
        <v>-8</v>
      </c>
      <c r="S14" t="s">
        <v>436</v>
      </c>
      <c r="T14" t="s">
        <v>436</v>
      </c>
      <c r="U14" t="s">
        <v>436</v>
      </c>
      <c r="V14">
        <v>-7</v>
      </c>
      <c r="W14" t="s">
        <v>436</v>
      </c>
      <c r="X14" t="s">
        <v>436</v>
      </c>
      <c r="Y14" t="s">
        <v>436</v>
      </c>
      <c r="Z14" t="s">
        <v>251</v>
      </c>
    </row>
    <row r="15" spans="5:26" x14ac:dyDescent="0.3">
      <c r="E15" s="16" t="s">
        <v>485</v>
      </c>
      <c r="F15">
        <v>-71</v>
      </c>
      <c r="G15">
        <v>197</v>
      </c>
      <c r="H15">
        <v>-61</v>
      </c>
      <c r="I15">
        <v>-3</v>
      </c>
      <c r="J15">
        <v>-95</v>
      </c>
      <c r="K15">
        <v>-46</v>
      </c>
      <c r="L15" s="8">
        <v>-8646</v>
      </c>
      <c r="M15">
        <v>-405</v>
      </c>
      <c r="N15">
        <v>-924</v>
      </c>
      <c r="O15">
        <v>-952</v>
      </c>
      <c r="P15">
        <v>-932</v>
      </c>
      <c r="Q15">
        <v>-929</v>
      </c>
      <c r="R15" s="8">
        <v>-1684</v>
      </c>
      <c r="S15" s="8">
        <v>-1035</v>
      </c>
      <c r="T15">
        <v>-540</v>
      </c>
      <c r="U15">
        <v>-18</v>
      </c>
      <c r="V15">
        <v>233</v>
      </c>
      <c r="W15">
        <v>-166</v>
      </c>
      <c r="X15">
        <v>-53</v>
      </c>
      <c r="Y15">
        <v>20</v>
      </c>
      <c r="Z15" t="s">
        <v>251</v>
      </c>
    </row>
    <row r="16" spans="5:26" x14ac:dyDescent="0.3">
      <c r="E16" s="17" t="s">
        <v>1032</v>
      </c>
      <c r="F16" s="8">
        <v>9476</v>
      </c>
      <c r="G16" s="8">
        <v>9652</v>
      </c>
      <c r="H16" s="8">
        <v>9446</v>
      </c>
      <c r="I16" s="8">
        <v>9448</v>
      </c>
      <c r="J16" s="8">
        <v>9068</v>
      </c>
      <c r="K16" s="8">
        <v>8426</v>
      </c>
      <c r="L16" s="8">
        <v>24517</v>
      </c>
      <c r="M16" s="8">
        <v>8062</v>
      </c>
      <c r="N16" s="8">
        <v>7080</v>
      </c>
      <c r="O16" s="8">
        <v>7472</v>
      </c>
      <c r="P16" s="8">
        <v>6786</v>
      </c>
      <c r="Q16" s="8">
        <v>7266</v>
      </c>
      <c r="R16" s="8">
        <v>8075</v>
      </c>
      <c r="S16" s="8">
        <v>7041</v>
      </c>
      <c r="T16" s="8">
        <v>7242</v>
      </c>
      <c r="U16" s="8">
        <v>7646</v>
      </c>
      <c r="V16" s="8">
        <v>7377</v>
      </c>
      <c r="W16" s="8">
        <v>7330</v>
      </c>
      <c r="X16" s="8">
        <v>7970</v>
      </c>
      <c r="Y16" s="8">
        <v>7124</v>
      </c>
      <c r="Z16" t="s">
        <v>251</v>
      </c>
    </row>
    <row r="17" spans="5:26" x14ac:dyDescent="0.3">
      <c r="E17" s="16" t="s">
        <v>1052</v>
      </c>
      <c r="F17" s="8">
        <v>20803</v>
      </c>
      <c r="G17" s="8">
        <v>22461</v>
      </c>
      <c r="H17" s="8">
        <v>21703</v>
      </c>
      <c r="I17" s="8">
        <v>22037</v>
      </c>
      <c r="J17" s="8">
        <v>19418</v>
      </c>
      <c r="K17" s="8">
        <v>19249</v>
      </c>
      <c r="L17" s="8">
        <v>27335</v>
      </c>
      <c r="M17" s="8">
        <v>18868</v>
      </c>
      <c r="N17" s="8">
        <v>14221</v>
      </c>
      <c r="O17" s="8">
        <v>17048</v>
      </c>
      <c r="P17" s="8">
        <v>16816</v>
      </c>
      <c r="Q17" s="8">
        <v>17638</v>
      </c>
      <c r="R17" s="8">
        <v>14347</v>
      </c>
      <c r="S17" s="8">
        <v>15198</v>
      </c>
      <c r="T17" s="8">
        <v>15587</v>
      </c>
      <c r="U17" s="8">
        <v>16845</v>
      </c>
      <c r="V17" s="8">
        <v>15649</v>
      </c>
      <c r="W17" s="8">
        <v>16567</v>
      </c>
      <c r="X17" s="8">
        <v>17738</v>
      </c>
      <c r="Y17" s="8">
        <v>19377</v>
      </c>
      <c r="Z17" t="s">
        <v>251</v>
      </c>
    </row>
    <row r="18" spans="5:26" x14ac:dyDescent="0.3">
      <c r="E18" s="19" t="s">
        <v>1072</v>
      </c>
      <c r="F18" s="21">
        <v>7.1300000000000002E-2</v>
      </c>
      <c r="G18" s="21">
        <v>0.16689999999999999</v>
      </c>
      <c r="H18" s="21">
        <v>-0.20599999999999999</v>
      </c>
      <c r="I18" s="21">
        <v>0.16800000000000001</v>
      </c>
      <c r="J18" s="21">
        <v>0.36549999999999999</v>
      </c>
      <c r="K18" s="21">
        <v>0.12909999999999999</v>
      </c>
      <c r="L18" s="21">
        <v>0.62549999999999994</v>
      </c>
      <c r="M18" s="21">
        <v>6.9699999999999998E-2</v>
      </c>
      <c r="N18" s="21">
        <v>-8.8000000000000005E-3</v>
      </c>
      <c r="O18" s="21">
        <v>0.1217</v>
      </c>
      <c r="P18" s="21">
        <v>7.8899999999999998E-2</v>
      </c>
      <c r="Q18" s="21">
        <v>4.7100000000000003E-2</v>
      </c>
      <c r="R18" s="21">
        <v>-8.3199999999999996E-2</v>
      </c>
      <c r="S18" s="21">
        <v>-8.2600000000000007E-2</v>
      </c>
      <c r="T18" s="21">
        <v>-0.12130000000000001</v>
      </c>
      <c r="U18" s="21">
        <v>-0.13070000000000001</v>
      </c>
      <c r="V18" s="21">
        <v>-2.6599999999999999E-2</v>
      </c>
      <c r="W18" s="21">
        <v>0.02</v>
      </c>
      <c r="X18" s="21">
        <v>-7.7200000000000005E-2</v>
      </c>
      <c r="Y18" s="21">
        <v>0.39939999999999998</v>
      </c>
      <c r="Z18" t="s">
        <v>251</v>
      </c>
    </row>
    <row r="19" spans="5:26" x14ac:dyDescent="0.3">
      <c r="E19" s="16" t="s">
        <v>1093</v>
      </c>
      <c r="F19" s="8">
        <v>45798</v>
      </c>
      <c r="G19" s="8">
        <v>46427</v>
      </c>
      <c r="H19" s="8">
        <v>44912</v>
      </c>
      <c r="I19" s="8">
        <v>45310</v>
      </c>
      <c r="J19" s="8">
        <v>42768</v>
      </c>
      <c r="K19" s="8">
        <v>42654</v>
      </c>
      <c r="L19" s="8">
        <v>50081</v>
      </c>
      <c r="M19" s="8">
        <v>41950</v>
      </c>
      <c r="N19" s="8">
        <v>38272</v>
      </c>
      <c r="O19" s="8">
        <v>39774</v>
      </c>
      <c r="P19" s="8">
        <v>38595</v>
      </c>
      <c r="Q19" s="8">
        <v>38349</v>
      </c>
      <c r="R19" s="8">
        <v>34539</v>
      </c>
      <c r="S19" s="8">
        <v>32716</v>
      </c>
      <c r="T19" s="8">
        <v>30715</v>
      </c>
      <c r="U19" s="8">
        <v>30717</v>
      </c>
      <c r="V19" s="8">
        <v>29250</v>
      </c>
      <c r="W19" s="8">
        <v>29647</v>
      </c>
      <c r="X19" s="8">
        <v>30479</v>
      </c>
      <c r="Y19" s="8">
        <v>32266</v>
      </c>
      <c r="Z19" t="s">
        <v>251</v>
      </c>
    </row>
    <row r="20" spans="5:26" x14ac:dyDescent="0.3">
      <c r="E20" s="20" t="s">
        <v>1113</v>
      </c>
      <c r="F20" s="8">
        <v>4655</v>
      </c>
      <c r="G20" s="8">
        <v>3403</v>
      </c>
      <c r="H20" s="8">
        <v>2849</v>
      </c>
      <c r="I20" s="8">
        <v>3305</v>
      </c>
      <c r="J20" s="8">
        <v>2631</v>
      </c>
      <c r="K20" s="8">
        <v>3111</v>
      </c>
      <c r="L20" s="8">
        <v>3052</v>
      </c>
      <c r="M20" s="8">
        <v>1884</v>
      </c>
      <c r="N20" s="8">
        <v>2762</v>
      </c>
      <c r="O20" s="8">
        <v>1384</v>
      </c>
      <c r="P20" s="8">
        <v>2899</v>
      </c>
      <c r="Q20" s="8">
        <v>2275</v>
      </c>
      <c r="R20" s="8">
        <v>2288</v>
      </c>
      <c r="S20" s="8">
        <v>1537</v>
      </c>
      <c r="T20" s="8">
        <v>1101</v>
      </c>
      <c r="U20" s="8">
        <v>1463</v>
      </c>
      <c r="V20" s="8">
        <v>-1288</v>
      </c>
      <c r="W20" s="8">
        <v>-1527</v>
      </c>
      <c r="X20" s="8">
        <v>-2285</v>
      </c>
      <c r="Y20" s="8">
        <v>-4156</v>
      </c>
      <c r="Z20" t="s">
        <v>251</v>
      </c>
    </row>
    <row r="21" spans="5:26" x14ac:dyDescent="0.3">
      <c r="E21" s="16" t="s">
        <v>230</v>
      </c>
      <c r="F21" s="8">
        <v>41143</v>
      </c>
      <c r="G21" s="8">
        <v>43024</v>
      </c>
      <c r="H21" s="8">
        <v>42063</v>
      </c>
      <c r="I21" s="8">
        <v>42005</v>
      </c>
      <c r="J21" s="8">
        <v>40137</v>
      </c>
      <c r="K21" s="8">
        <v>39543</v>
      </c>
      <c r="L21" s="8">
        <v>47029</v>
      </c>
      <c r="M21" s="8">
        <v>40066</v>
      </c>
      <c r="N21" s="8">
        <v>35510</v>
      </c>
      <c r="O21" s="8">
        <v>38390</v>
      </c>
      <c r="P21" s="8">
        <v>35696</v>
      </c>
      <c r="Q21" s="8">
        <v>36074</v>
      </c>
      <c r="R21" s="8">
        <v>32251</v>
      </c>
      <c r="S21" s="8">
        <v>31179</v>
      </c>
      <c r="T21" s="8">
        <v>29614</v>
      </c>
      <c r="U21" s="8">
        <v>29254</v>
      </c>
      <c r="V21" s="8">
        <v>30538</v>
      </c>
      <c r="W21" s="8">
        <v>31174</v>
      </c>
      <c r="X21" s="8">
        <v>32764</v>
      </c>
      <c r="Y21" s="8">
        <v>36422</v>
      </c>
      <c r="Z21" t="s">
        <v>251</v>
      </c>
    </row>
    <row r="22" spans="5:26" x14ac:dyDescent="0.3">
      <c r="E22" s="19" t="s">
        <v>252</v>
      </c>
      <c r="F22" s="21">
        <v>2.5100000000000001E-2</v>
      </c>
      <c r="G22" s="21">
        <v>8.7999999999999995E-2</v>
      </c>
      <c r="H22" s="21">
        <v>-0.1056</v>
      </c>
      <c r="I22" s="21">
        <v>4.8399999999999999E-2</v>
      </c>
      <c r="J22" s="21">
        <v>0.1303</v>
      </c>
      <c r="K22" s="21">
        <v>0.03</v>
      </c>
      <c r="L22" s="21">
        <v>0.3175</v>
      </c>
      <c r="M22" s="21">
        <v>0.11070000000000001</v>
      </c>
      <c r="N22" s="21">
        <v>0.1011</v>
      </c>
      <c r="O22" s="21">
        <v>0.23130000000000001</v>
      </c>
      <c r="P22" s="21">
        <v>0.2054</v>
      </c>
      <c r="Q22" s="21">
        <v>0.2331</v>
      </c>
      <c r="R22" s="21">
        <v>5.6099999999999997E-2</v>
      </c>
      <c r="S22" s="21">
        <v>2.0000000000000001E-4</v>
      </c>
      <c r="T22" s="21">
        <v>-9.6100000000000005E-2</v>
      </c>
      <c r="U22" s="21">
        <v>-0.1968</v>
      </c>
      <c r="V22" s="21">
        <v>-2.1999999999999999E-2</v>
      </c>
      <c r="W22" s="21">
        <v>8.8300000000000003E-2</v>
      </c>
      <c r="X22" s="21">
        <v>0.4496</v>
      </c>
      <c r="Y22" s="21">
        <v>0.82099999999999995</v>
      </c>
      <c r="Z22" t="s">
        <v>251</v>
      </c>
    </row>
    <row r="23" spans="5:26" x14ac:dyDescent="0.3">
      <c r="E23" s="16" t="s">
        <v>1171</v>
      </c>
      <c r="F23" s="8">
        <v>13118</v>
      </c>
      <c r="G23" s="8">
        <v>12656</v>
      </c>
      <c r="H23" s="8">
        <v>12751</v>
      </c>
      <c r="I23" s="8">
        <v>13040</v>
      </c>
      <c r="J23" s="8">
        <v>11696</v>
      </c>
      <c r="K23" s="8">
        <v>11968</v>
      </c>
      <c r="L23" s="8">
        <v>12009</v>
      </c>
      <c r="M23" s="8">
        <v>12180</v>
      </c>
      <c r="N23" s="8">
        <v>11216</v>
      </c>
      <c r="O23" s="8">
        <v>10944</v>
      </c>
      <c r="P23" s="8">
        <v>10382</v>
      </c>
      <c r="Q23" s="8">
        <v>10806</v>
      </c>
      <c r="R23" s="8">
        <v>9524</v>
      </c>
      <c r="S23" s="8">
        <v>9855</v>
      </c>
      <c r="T23" s="8">
        <v>9482</v>
      </c>
      <c r="U23" s="8">
        <v>9981</v>
      </c>
      <c r="V23" s="8">
        <v>8401</v>
      </c>
      <c r="W23" s="8">
        <v>8469</v>
      </c>
      <c r="X23" s="8">
        <v>9071</v>
      </c>
      <c r="Y23" s="8">
        <v>9697</v>
      </c>
      <c r="Z23" t="s">
        <v>251</v>
      </c>
    </row>
    <row r="24" spans="5:26" x14ac:dyDescent="0.3">
      <c r="E24" s="17" t="s">
        <v>1191</v>
      </c>
      <c r="F24" s="8">
        <v>9189</v>
      </c>
      <c r="G24" s="8">
        <v>9822</v>
      </c>
      <c r="H24" s="8">
        <v>9212</v>
      </c>
      <c r="I24" s="8">
        <v>9076</v>
      </c>
      <c r="J24" s="8">
        <v>8940</v>
      </c>
      <c r="K24" s="8">
        <v>8592</v>
      </c>
      <c r="L24" s="8">
        <v>8582</v>
      </c>
      <c r="M24" s="8">
        <v>8278</v>
      </c>
      <c r="N24" s="8">
        <v>8152</v>
      </c>
      <c r="O24" s="8">
        <v>8111</v>
      </c>
      <c r="P24" s="8">
        <v>7854</v>
      </c>
      <c r="Q24" s="8">
        <v>7662</v>
      </c>
      <c r="R24" s="8">
        <v>7757</v>
      </c>
      <c r="S24" s="8">
        <v>7710</v>
      </c>
      <c r="T24" s="8">
        <v>7674</v>
      </c>
      <c r="U24" s="8">
        <v>7792</v>
      </c>
      <c r="V24" s="8">
        <v>7977</v>
      </c>
      <c r="W24" s="8">
        <v>7435</v>
      </c>
      <c r="X24" s="8">
        <v>7332</v>
      </c>
      <c r="Y24" s="8">
        <v>7492</v>
      </c>
      <c r="Z24" t="s">
        <v>251</v>
      </c>
    </row>
    <row r="25" spans="5:26" x14ac:dyDescent="0.3">
      <c r="E25" s="16" t="s">
        <v>1211</v>
      </c>
      <c r="F25" s="8">
        <v>1290</v>
      </c>
      <c r="G25" s="8">
        <v>1741</v>
      </c>
      <c r="H25" s="8">
        <v>1698</v>
      </c>
      <c r="I25" s="8">
        <v>1683</v>
      </c>
      <c r="J25" s="8">
        <v>1507</v>
      </c>
      <c r="K25" s="8">
        <v>1746</v>
      </c>
      <c r="L25" s="8">
        <v>2805</v>
      </c>
      <c r="M25" s="8">
        <v>1646</v>
      </c>
      <c r="N25">
        <v>983</v>
      </c>
      <c r="O25" s="8">
        <v>2037</v>
      </c>
      <c r="P25" s="8">
        <v>2166</v>
      </c>
      <c r="Q25" s="8">
        <v>1463</v>
      </c>
      <c r="R25" s="8">
        <v>1972</v>
      </c>
      <c r="S25" s="8">
        <v>1566</v>
      </c>
      <c r="T25" s="8">
        <v>1520</v>
      </c>
      <c r="U25" s="8">
        <v>1299</v>
      </c>
      <c r="V25" s="8">
        <v>1366</v>
      </c>
      <c r="W25" s="8">
        <v>1083</v>
      </c>
      <c r="X25" s="8">
        <v>1079</v>
      </c>
      <c r="Y25" s="8">
        <v>1508</v>
      </c>
      <c r="Z25" t="s">
        <v>251</v>
      </c>
    </row>
    <row r="26" spans="5:26" x14ac:dyDescent="0.3">
      <c r="E26" s="20" t="s">
        <v>1230</v>
      </c>
      <c r="F26" s="8">
        <v>23597</v>
      </c>
      <c r="G26" s="8">
        <v>24219</v>
      </c>
      <c r="H26" s="8">
        <v>23661</v>
      </c>
      <c r="I26" s="8">
        <v>23799</v>
      </c>
      <c r="J26" s="8">
        <v>22143</v>
      </c>
      <c r="K26" s="8">
        <v>22306</v>
      </c>
      <c r="L26" s="8">
        <v>23396</v>
      </c>
      <c r="M26" s="8">
        <v>22104</v>
      </c>
      <c r="N26" s="8">
        <v>20351</v>
      </c>
      <c r="O26" s="8">
        <v>21092</v>
      </c>
      <c r="P26" s="8">
        <v>20402</v>
      </c>
      <c r="Q26" s="8">
        <v>19931</v>
      </c>
      <c r="R26" s="8">
        <v>19253</v>
      </c>
      <c r="S26" s="8">
        <v>19131</v>
      </c>
      <c r="T26" s="8">
        <v>18676</v>
      </c>
      <c r="U26" s="8">
        <v>19072</v>
      </c>
      <c r="V26" s="8">
        <v>17744</v>
      </c>
      <c r="W26" s="8">
        <v>16987</v>
      </c>
      <c r="X26" s="8">
        <v>17482</v>
      </c>
      <c r="Y26" s="8">
        <v>18697</v>
      </c>
      <c r="Z26" t="s">
        <v>251</v>
      </c>
    </row>
    <row r="27" spans="5:26" x14ac:dyDescent="0.3">
      <c r="E27" s="16" t="s">
        <v>460</v>
      </c>
      <c r="F27" s="8">
        <v>17546</v>
      </c>
      <c r="G27" s="8">
        <v>18805</v>
      </c>
      <c r="H27" s="8">
        <v>18402</v>
      </c>
      <c r="I27" s="8">
        <v>18206</v>
      </c>
      <c r="J27" s="8">
        <v>17994</v>
      </c>
      <c r="K27" s="8">
        <v>17237</v>
      </c>
      <c r="L27" s="8">
        <v>23633</v>
      </c>
      <c r="M27" s="8">
        <v>17962</v>
      </c>
      <c r="N27" s="8">
        <v>15159</v>
      </c>
      <c r="O27" s="8">
        <v>17298</v>
      </c>
      <c r="P27" s="8">
        <v>15294</v>
      </c>
      <c r="Q27" s="8">
        <v>16143</v>
      </c>
      <c r="R27" s="8">
        <v>12998</v>
      </c>
      <c r="S27" s="8">
        <v>12048</v>
      </c>
      <c r="T27" s="8">
        <v>10938</v>
      </c>
      <c r="U27" s="8">
        <v>10182</v>
      </c>
      <c r="V27" s="8">
        <v>12794</v>
      </c>
      <c r="W27" s="8">
        <v>14187</v>
      </c>
      <c r="X27" s="8">
        <v>15282</v>
      </c>
      <c r="Y27" s="8">
        <v>17725</v>
      </c>
      <c r="Z27" t="s">
        <v>251</v>
      </c>
    </row>
    <row r="28" spans="5:26" x14ac:dyDescent="0.3">
      <c r="E28" s="17" t="s">
        <v>497</v>
      </c>
      <c r="F28">
        <v>-60</v>
      </c>
      <c r="G28">
        <v>-62</v>
      </c>
      <c r="H28">
        <v>-118</v>
      </c>
      <c r="I28">
        <v>-121</v>
      </c>
      <c r="J28">
        <v>-236</v>
      </c>
      <c r="K28">
        <v>-259</v>
      </c>
      <c r="L28">
        <v>-317</v>
      </c>
      <c r="M28">
        <v>72</v>
      </c>
      <c r="N28">
        <v>-175</v>
      </c>
      <c r="O28">
        <v>-665</v>
      </c>
      <c r="P28">
        <v>-420</v>
      </c>
      <c r="Q28">
        <v>-176</v>
      </c>
      <c r="R28">
        <v>239</v>
      </c>
      <c r="S28">
        <v>-47</v>
      </c>
      <c r="T28">
        <v>-73</v>
      </c>
      <c r="U28">
        <v>-119</v>
      </c>
      <c r="V28">
        <v>-137</v>
      </c>
      <c r="W28">
        <v>-76</v>
      </c>
      <c r="X28">
        <v>-185</v>
      </c>
      <c r="Y28">
        <v>-28</v>
      </c>
      <c r="Z28" t="s">
        <v>251</v>
      </c>
    </row>
    <row r="29" spans="5:26" x14ac:dyDescent="0.3">
      <c r="E29" s="16" t="s">
        <v>1288</v>
      </c>
      <c r="F29">
        <v>-326</v>
      </c>
      <c r="G29" s="3" t="s">
        <v>436</v>
      </c>
      <c r="H29" t="s">
        <v>436</v>
      </c>
      <c r="I29">
        <v>323</v>
      </c>
      <c r="J29" s="3" t="s">
        <v>436</v>
      </c>
      <c r="K29" t="s">
        <v>436</v>
      </c>
      <c r="L29">
        <v>119</v>
      </c>
      <c r="M29">
        <v>-741</v>
      </c>
      <c r="N29" s="8">
        <v>-2598</v>
      </c>
      <c r="O29">
        <v>100</v>
      </c>
      <c r="P29" s="8">
        <v>2712</v>
      </c>
      <c r="Q29" t="s">
        <v>436</v>
      </c>
      <c r="R29" t="s">
        <v>436</v>
      </c>
      <c r="S29" t="s">
        <v>436</v>
      </c>
      <c r="T29" t="s">
        <v>436</v>
      </c>
      <c r="U29" t="s">
        <v>436</v>
      </c>
      <c r="V29" t="s">
        <v>436</v>
      </c>
      <c r="W29" t="s">
        <v>436</v>
      </c>
      <c r="X29" t="s">
        <v>436</v>
      </c>
      <c r="Y29" t="s">
        <v>436</v>
      </c>
      <c r="Z29" t="s">
        <v>251</v>
      </c>
    </row>
    <row r="30" spans="5:26" x14ac:dyDescent="0.3">
      <c r="E30" s="17" t="s">
        <v>499</v>
      </c>
      <c r="F30" s="8">
        <v>17160</v>
      </c>
      <c r="G30" s="8">
        <v>18743</v>
      </c>
      <c r="H30" s="8">
        <v>18284</v>
      </c>
      <c r="I30" s="8">
        <v>18408</v>
      </c>
      <c r="J30" s="8">
        <v>17375</v>
      </c>
      <c r="K30" s="8">
        <v>16978</v>
      </c>
      <c r="L30" s="8">
        <v>23435</v>
      </c>
      <c r="M30" s="8">
        <v>17293</v>
      </c>
      <c r="N30" s="8">
        <v>11326</v>
      </c>
      <c r="O30" s="8">
        <v>16733</v>
      </c>
      <c r="P30" s="8">
        <v>17586</v>
      </c>
      <c r="Q30" s="8">
        <v>15967</v>
      </c>
      <c r="R30" s="8">
        <v>13237</v>
      </c>
      <c r="S30" s="8">
        <v>12001</v>
      </c>
      <c r="T30" s="8">
        <v>10865</v>
      </c>
      <c r="U30" s="8">
        <v>10063</v>
      </c>
      <c r="V30" s="8">
        <v>12657</v>
      </c>
      <c r="W30" s="8">
        <v>14111</v>
      </c>
      <c r="X30" s="8">
        <v>15097</v>
      </c>
      <c r="Y30" s="8">
        <v>17697</v>
      </c>
      <c r="Z30" t="s">
        <v>251</v>
      </c>
    </row>
    <row r="31" spans="5:26" x14ac:dyDescent="0.3">
      <c r="E31" s="16" t="s">
        <v>513</v>
      </c>
      <c r="F31" s="8">
        <v>4135</v>
      </c>
      <c r="G31" s="8">
        <v>4350</v>
      </c>
      <c r="H31" s="8">
        <v>3297</v>
      </c>
      <c r="I31" s="8">
        <v>3765</v>
      </c>
      <c r="J31" s="8">
        <v>3370</v>
      </c>
      <c r="K31" s="8">
        <v>4080</v>
      </c>
      <c r="L31" s="8">
        <v>5286</v>
      </c>
      <c r="M31" s="8">
        <v>3874</v>
      </c>
      <c r="N31" s="8">
        <v>2019</v>
      </c>
      <c r="O31" s="8">
        <v>3582</v>
      </c>
      <c r="P31" s="8">
        <v>3114</v>
      </c>
      <c r="Q31" s="8">
        <v>3345</v>
      </c>
      <c r="R31" s="8">
        <v>2229</v>
      </c>
      <c r="S31" s="8">
        <v>2264</v>
      </c>
      <c r="T31" s="8">
        <v>2216</v>
      </c>
      <c r="U31" s="8">
        <v>1781</v>
      </c>
      <c r="V31" s="8">
        <v>2258</v>
      </c>
      <c r="W31" s="8">
        <v>2424</v>
      </c>
      <c r="X31" s="8">
        <v>3149</v>
      </c>
      <c r="Y31" s="8">
        <v>3397</v>
      </c>
      <c r="Z31" t="s">
        <v>251</v>
      </c>
    </row>
    <row r="32" spans="5:26" x14ac:dyDescent="0.3">
      <c r="E32" s="17" t="s">
        <v>568</v>
      </c>
      <c r="F32" s="8">
        <v>13025</v>
      </c>
      <c r="G32" s="8">
        <v>14393</v>
      </c>
      <c r="H32" s="8">
        <v>14987</v>
      </c>
      <c r="I32" s="8">
        <v>14643</v>
      </c>
      <c r="J32" s="8">
        <v>14005</v>
      </c>
      <c r="K32" s="8">
        <v>12898</v>
      </c>
      <c r="L32" s="8">
        <v>18149</v>
      </c>
      <c r="M32" s="8">
        <v>13419</v>
      </c>
      <c r="N32" s="8">
        <v>9307</v>
      </c>
      <c r="O32" s="8">
        <v>13151</v>
      </c>
      <c r="P32" s="8">
        <v>14472</v>
      </c>
      <c r="Q32" s="8">
        <v>12622</v>
      </c>
      <c r="R32" s="8">
        <v>11008</v>
      </c>
      <c r="S32" s="8">
        <v>9737</v>
      </c>
      <c r="T32" s="8">
        <v>8649</v>
      </c>
      <c r="U32" s="8">
        <v>8282</v>
      </c>
      <c r="V32" s="8">
        <v>10399</v>
      </c>
      <c r="W32" s="8">
        <v>11687</v>
      </c>
      <c r="X32" s="8">
        <v>11948</v>
      </c>
      <c r="Y32" s="8">
        <v>14300</v>
      </c>
      <c r="Z32" t="s">
        <v>251</v>
      </c>
    </row>
    <row r="33" spans="5:26" x14ac:dyDescent="0.3">
      <c r="E33" s="16" t="s">
        <v>1352</v>
      </c>
      <c r="F33">
        <v>336</v>
      </c>
      <c r="G33">
        <v>350</v>
      </c>
      <c r="H33">
        <v>357</v>
      </c>
      <c r="I33">
        <v>326</v>
      </c>
      <c r="J33">
        <v>336</v>
      </c>
      <c r="K33">
        <v>361</v>
      </c>
      <c r="L33">
        <v>431</v>
      </c>
      <c r="M33">
        <v>477</v>
      </c>
      <c r="N33">
        <v>436</v>
      </c>
      <c r="O33">
        <v>466</v>
      </c>
      <c r="P33">
        <v>461</v>
      </c>
      <c r="Q33">
        <v>429</v>
      </c>
      <c r="R33">
        <v>411</v>
      </c>
      <c r="S33">
        <v>482</v>
      </c>
      <c r="T33">
        <v>454</v>
      </c>
      <c r="U33">
        <v>437</v>
      </c>
      <c r="V33">
        <v>472</v>
      </c>
      <c r="W33">
        <v>458</v>
      </c>
      <c r="X33">
        <v>452</v>
      </c>
      <c r="Y33">
        <v>449</v>
      </c>
      <c r="Z33" t="s">
        <v>251</v>
      </c>
    </row>
    <row r="34" spans="5:26" x14ac:dyDescent="0.3">
      <c r="E34" s="17" t="s">
        <v>585</v>
      </c>
      <c r="F34" s="8">
        <v>12689</v>
      </c>
      <c r="G34" s="8">
        <v>14043</v>
      </c>
      <c r="H34" s="8">
        <v>14630</v>
      </c>
      <c r="I34" s="8">
        <v>14317</v>
      </c>
      <c r="J34" s="8">
        <v>13669</v>
      </c>
      <c r="K34" s="8">
        <v>12537</v>
      </c>
      <c r="L34" s="8">
        <v>17718</v>
      </c>
      <c r="M34" s="8">
        <v>12942</v>
      </c>
      <c r="N34" s="8">
        <v>8871</v>
      </c>
      <c r="O34" s="8">
        <v>12685</v>
      </c>
      <c r="P34" s="8">
        <v>14011</v>
      </c>
      <c r="Q34" s="8">
        <v>12193</v>
      </c>
      <c r="R34" s="8">
        <v>10597</v>
      </c>
      <c r="S34" s="8">
        <v>9255</v>
      </c>
      <c r="T34" s="8">
        <v>8195</v>
      </c>
      <c r="U34" s="8">
        <v>7845</v>
      </c>
      <c r="V34" s="8">
        <v>9927</v>
      </c>
      <c r="W34" s="8">
        <v>11229</v>
      </c>
      <c r="X34" s="8">
        <v>11496</v>
      </c>
      <c r="Y34" s="8">
        <v>13851</v>
      </c>
      <c r="Z34" t="s">
        <v>251</v>
      </c>
    </row>
    <row r="35" spans="5:26" x14ac:dyDescent="0.3">
      <c r="E35" s="19" t="s">
        <v>586</v>
      </c>
      <c r="F35" s="21">
        <v>-7.0000000000000007E-2</v>
      </c>
      <c r="G35" s="21">
        <v>0.1159</v>
      </c>
      <c r="H35" s="21">
        <v>-0.17419999999999999</v>
      </c>
      <c r="I35" s="21">
        <v>9.1200000000000003E-2</v>
      </c>
      <c r="J35" s="21">
        <v>0.50480000000000003</v>
      </c>
      <c r="K35" s="21">
        <v>-1.9199999999999998E-2</v>
      </c>
      <c r="L35" s="21">
        <v>0.25409999999999999</v>
      </c>
      <c r="M35" s="21">
        <v>6.3100000000000003E-2</v>
      </c>
      <c r="N35" s="21">
        <v>-0.1545</v>
      </c>
      <c r="O35" s="21">
        <v>0.35060000000000002</v>
      </c>
      <c r="P35" s="21">
        <v>0.67330000000000001</v>
      </c>
      <c r="Q35" s="21">
        <v>0.52400000000000002</v>
      </c>
      <c r="R35" s="21">
        <v>5.8599999999999999E-2</v>
      </c>
      <c r="S35" s="21">
        <v>-0.1668</v>
      </c>
      <c r="T35" s="21">
        <v>-0.27610000000000001</v>
      </c>
      <c r="U35" s="21">
        <v>-0.42080000000000001</v>
      </c>
      <c r="V35" s="21">
        <v>-0.1431</v>
      </c>
      <c r="W35" s="21">
        <v>0.23760000000000001</v>
      </c>
      <c r="X35" s="21">
        <v>1.5491999999999999</v>
      </c>
      <c r="Y35" s="21">
        <v>3.9912999999999998</v>
      </c>
      <c r="Z35" t="s">
        <v>251</v>
      </c>
    </row>
    <row r="36" spans="5:26" x14ac:dyDescent="0.3">
      <c r="E36" s="17" t="s">
        <v>1409</v>
      </c>
      <c r="F36" s="8">
        <v>2735</v>
      </c>
      <c r="G36" s="8">
        <v>2762</v>
      </c>
      <c r="H36" s="8">
        <v>2789</v>
      </c>
      <c r="I36" s="8">
        <v>2819</v>
      </c>
      <c r="J36" s="8">
        <v>2837</v>
      </c>
      <c r="K36" s="8">
        <v>2861</v>
      </c>
      <c r="L36" s="8">
        <v>2890</v>
      </c>
      <c r="M36" s="8">
        <v>2908</v>
      </c>
      <c r="N36" s="8">
        <v>2914</v>
      </c>
      <c r="O36" s="8">
        <v>2928</v>
      </c>
      <c r="P36" s="8">
        <v>2944</v>
      </c>
      <c r="Q36" s="8">
        <v>2969</v>
      </c>
      <c r="R36" s="8">
        <v>2963</v>
      </c>
      <c r="S36" s="8">
        <v>2961</v>
      </c>
      <c r="T36" s="8">
        <v>2962</v>
      </c>
      <c r="U36" s="8">
        <v>2977</v>
      </c>
      <c r="V36" s="8">
        <v>2977</v>
      </c>
      <c r="W36" s="8">
        <v>3000</v>
      </c>
      <c r="X36" s="8">
        <v>3037</v>
      </c>
      <c r="Y36" s="8">
        <v>3074</v>
      </c>
      <c r="Z36" t="s">
        <v>251</v>
      </c>
    </row>
    <row r="37" spans="5:26" x14ac:dyDescent="0.3">
      <c r="E37" s="16" t="s">
        <v>1427</v>
      </c>
      <c r="F37" s="8">
        <v>2741</v>
      </c>
      <c r="G37" s="8">
        <v>2768</v>
      </c>
      <c r="H37" s="8">
        <v>2794</v>
      </c>
      <c r="I37" s="8">
        <v>2824</v>
      </c>
      <c r="J37" s="8">
        <v>2842</v>
      </c>
      <c r="K37" s="8">
        <v>2866</v>
      </c>
      <c r="L37" s="8">
        <v>2895</v>
      </c>
      <c r="M37" s="8">
        <v>2913</v>
      </c>
      <c r="N37" s="8">
        <v>2919</v>
      </c>
      <c r="O37" s="8">
        <v>2932</v>
      </c>
      <c r="P37" s="8">
        <v>2948</v>
      </c>
      <c r="Q37" s="8">
        <v>2973</v>
      </c>
      <c r="R37" s="8">
        <v>2967</v>
      </c>
      <c r="S37" s="8">
        <v>2965</v>
      </c>
      <c r="T37" s="8">
        <v>2966</v>
      </c>
      <c r="U37" s="8">
        <v>2981</v>
      </c>
      <c r="V37" s="8">
        <v>2982</v>
      </c>
      <c r="W37" s="8">
        <v>3005</v>
      </c>
      <c r="X37" s="8">
        <v>3042</v>
      </c>
      <c r="Y37" s="8">
        <v>3079</v>
      </c>
      <c r="Z37" t="s">
        <v>251</v>
      </c>
    </row>
    <row r="38" spans="5:26" x14ac:dyDescent="0.3">
      <c r="E38" s="17" t="s">
        <v>611</v>
      </c>
      <c r="F38" s="21">
        <v>-3.5799999999999998E-2</v>
      </c>
      <c r="G38" s="21">
        <v>-3.4299999999999997E-2</v>
      </c>
      <c r="H38" s="21">
        <v>-3.5000000000000003E-2</v>
      </c>
      <c r="I38" s="21">
        <v>-3.04E-2</v>
      </c>
      <c r="J38" s="21">
        <v>-2.63E-2</v>
      </c>
      <c r="K38" s="21">
        <v>-2.2599999999999999E-2</v>
      </c>
      <c r="L38" s="21">
        <v>-1.8100000000000002E-2</v>
      </c>
      <c r="M38" s="21">
        <v>-2.0199999999999999E-2</v>
      </c>
      <c r="N38" s="21">
        <v>-1.6199999999999999E-2</v>
      </c>
      <c r="O38" s="21">
        <v>-1.12E-2</v>
      </c>
      <c r="P38" s="21">
        <v>-6.1000000000000004E-3</v>
      </c>
      <c r="Q38" s="21">
        <v>-2.8E-3</v>
      </c>
      <c r="R38" s="21">
        <v>-4.8999999999999998E-3</v>
      </c>
      <c r="S38" s="21">
        <v>-1.32E-2</v>
      </c>
      <c r="T38" s="21">
        <v>-2.4799999999999999E-2</v>
      </c>
      <c r="U38" s="21">
        <v>-3.1800000000000002E-2</v>
      </c>
      <c r="V38" s="21">
        <v>-3.3500000000000002E-2</v>
      </c>
      <c r="W38" s="21">
        <v>-2.52E-2</v>
      </c>
      <c r="X38" s="21">
        <v>-1.2699999999999999E-2</v>
      </c>
      <c r="Y38" s="21">
        <v>-7.0000000000000001E-3</v>
      </c>
      <c r="Z38" t="s">
        <v>251</v>
      </c>
    </row>
    <row r="39" spans="5:26" x14ac:dyDescent="0.3">
      <c r="E39" s="16" t="s">
        <v>632</v>
      </c>
      <c r="F39">
        <v>4.6399999999999997</v>
      </c>
      <c r="G39">
        <v>5.08</v>
      </c>
      <c r="H39">
        <v>5.25</v>
      </c>
      <c r="I39">
        <v>5.08</v>
      </c>
      <c r="J39">
        <v>4.82</v>
      </c>
      <c r="K39">
        <v>4.38</v>
      </c>
      <c r="L39">
        <v>6.13</v>
      </c>
      <c r="M39">
        <v>4.45</v>
      </c>
      <c r="N39">
        <v>3.04</v>
      </c>
      <c r="O39">
        <v>4.33</v>
      </c>
      <c r="P39">
        <v>4.76</v>
      </c>
      <c r="Q39">
        <v>4.1100000000000003</v>
      </c>
      <c r="R39">
        <v>3.58</v>
      </c>
      <c r="S39">
        <v>3.13</v>
      </c>
      <c r="T39">
        <v>2.77</v>
      </c>
      <c r="U39">
        <v>2.64</v>
      </c>
      <c r="V39">
        <v>3.33</v>
      </c>
      <c r="W39">
        <v>3.74</v>
      </c>
      <c r="X39">
        <v>3.79</v>
      </c>
      <c r="Y39">
        <v>4.51</v>
      </c>
      <c r="Z39" t="s">
        <v>251</v>
      </c>
    </row>
    <row r="40" spans="5:26" x14ac:dyDescent="0.3">
      <c r="E40" s="19" t="s">
        <v>650</v>
      </c>
      <c r="F40">
        <v>4.63</v>
      </c>
      <c r="G40">
        <v>5.07</v>
      </c>
      <c r="H40">
        <v>5.24</v>
      </c>
      <c r="I40">
        <v>5.07</v>
      </c>
      <c r="J40">
        <v>4.8099999999999996</v>
      </c>
      <c r="K40">
        <v>4.37</v>
      </c>
      <c r="L40">
        <v>6.12</v>
      </c>
      <c r="M40">
        <v>4.4400000000000004</v>
      </c>
      <c r="N40">
        <v>3.04</v>
      </c>
      <c r="O40">
        <v>4.33</v>
      </c>
      <c r="P40">
        <v>4.75</v>
      </c>
      <c r="Q40">
        <v>4.0999999999999996</v>
      </c>
      <c r="R40">
        <v>3.58</v>
      </c>
      <c r="S40">
        <v>3.12</v>
      </c>
      <c r="T40">
        <v>2.76</v>
      </c>
      <c r="U40">
        <v>2.63</v>
      </c>
      <c r="V40">
        <v>3.33</v>
      </c>
      <c r="W40">
        <v>3.74</v>
      </c>
      <c r="X40">
        <v>3.78</v>
      </c>
      <c r="Y40">
        <v>4.5</v>
      </c>
      <c r="Z40" t="s">
        <v>251</v>
      </c>
    </row>
    <row r="41" spans="5:26" x14ac:dyDescent="0.3">
      <c r="E41" s="16" t="s">
        <v>652</v>
      </c>
      <c r="F41" s="21">
        <v>-3.6999999999999998E-2</v>
      </c>
      <c r="G41" s="21">
        <v>0.16020000000000001</v>
      </c>
      <c r="H41" s="21">
        <v>-0.14380000000000001</v>
      </c>
      <c r="I41" s="21">
        <v>0.1419</v>
      </c>
      <c r="J41" s="21">
        <v>0.58179999999999998</v>
      </c>
      <c r="K41" s="21">
        <v>9.1999999999999998E-3</v>
      </c>
      <c r="L41" s="21">
        <v>0.28839999999999999</v>
      </c>
      <c r="M41" s="21">
        <v>8.2900000000000001E-2</v>
      </c>
      <c r="N41" s="21">
        <v>-0.1502</v>
      </c>
      <c r="O41" s="21">
        <v>0.38779999999999998</v>
      </c>
      <c r="P41" s="21">
        <v>0.72099999999999997</v>
      </c>
      <c r="Q41" s="21">
        <v>0.55889999999999995</v>
      </c>
      <c r="R41" s="21">
        <v>7.4300000000000005E-2</v>
      </c>
      <c r="S41" s="21">
        <v>-0.1658</v>
      </c>
      <c r="T41" s="21">
        <v>-0.26979999999999998</v>
      </c>
      <c r="U41" s="21">
        <v>-0.41560000000000002</v>
      </c>
      <c r="V41" s="21">
        <v>-0.12189999999999999</v>
      </c>
      <c r="W41" s="21">
        <v>0.28079999999999999</v>
      </c>
      <c r="X41" s="21">
        <v>1.7391000000000001</v>
      </c>
      <c r="Y41" s="21">
        <v>4.7260999999999997</v>
      </c>
      <c r="Z41" t="s">
        <v>251</v>
      </c>
    </row>
    <row r="42" spans="5:26" x14ac:dyDescent="0.3">
      <c r="E42" s="19" t="s">
        <v>1516</v>
      </c>
      <c r="F42">
        <v>1.5</v>
      </c>
      <c r="G42">
        <v>1.5</v>
      </c>
      <c r="H42">
        <v>1.4</v>
      </c>
      <c r="I42">
        <v>1.4</v>
      </c>
      <c r="J42">
        <v>1.25</v>
      </c>
      <c r="K42">
        <v>1.25</v>
      </c>
      <c r="L42">
        <v>1.1499999999999999</v>
      </c>
      <c r="M42">
        <v>1.1499999999999999</v>
      </c>
      <c r="N42">
        <v>1.05</v>
      </c>
      <c r="O42">
        <v>1.05</v>
      </c>
      <c r="P42">
        <v>1</v>
      </c>
      <c r="Q42">
        <v>1</v>
      </c>
      <c r="R42">
        <v>1</v>
      </c>
      <c r="S42">
        <v>1</v>
      </c>
      <c r="T42">
        <v>1</v>
      </c>
      <c r="U42">
        <v>1</v>
      </c>
      <c r="V42">
        <v>1</v>
      </c>
      <c r="W42">
        <v>1</v>
      </c>
      <c r="X42">
        <v>0.9</v>
      </c>
      <c r="Y42">
        <v>0.9</v>
      </c>
      <c r="Z42" t="s">
        <v>251</v>
      </c>
    </row>
    <row r="43" spans="5:26" x14ac:dyDescent="0.3">
      <c r="E43" s="19" t="s">
        <v>1524</v>
      </c>
      <c r="F43" s="21">
        <v>0.2</v>
      </c>
      <c r="G43" s="21">
        <v>0.2</v>
      </c>
      <c r="H43" s="21">
        <v>0.21740000000000001</v>
      </c>
      <c r="I43" s="21">
        <v>0.21740000000000001</v>
      </c>
      <c r="J43" s="21">
        <v>0.1905</v>
      </c>
      <c r="K43" s="21">
        <v>0.1905</v>
      </c>
      <c r="L43" s="21">
        <v>0.15</v>
      </c>
      <c r="M43" s="21">
        <v>0.15</v>
      </c>
      <c r="N43" s="21">
        <v>0.05</v>
      </c>
      <c r="O43" s="21">
        <v>0.05</v>
      </c>
      <c r="P43" t="s">
        <v>436</v>
      </c>
      <c r="Q43" t="s">
        <v>436</v>
      </c>
      <c r="R43" t="s">
        <v>436</v>
      </c>
      <c r="S43" s="21" t="s">
        <v>436</v>
      </c>
      <c r="T43" s="21">
        <v>0.1111</v>
      </c>
      <c r="U43" s="21">
        <v>0.1111</v>
      </c>
      <c r="V43" s="21">
        <v>0.1111</v>
      </c>
      <c r="W43" s="21">
        <v>0.1111</v>
      </c>
      <c r="X43" t="s">
        <v>436</v>
      </c>
      <c r="Y43" t="s">
        <v>436</v>
      </c>
      <c r="Z43" t="s">
        <v>251</v>
      </c>
    </row>
    <row r="44" spans="5:26" x14ac:dyDescent="0.3">
      <c r="E44" s="17" t="s">
        <v>840</v>
      </c>
      <c r="F44" s="21">
        <v>0.24099999999999999</v>
      </c>
      <c r="G44" s="21">
        <v>0.2321</v>
      </c>
      <c r="H44" s="21">
        <v>0.18029999999999999</v>
      </c>
      <c r="I44" s="21">
        <v>0.20449999999999999</v>
      </c>
      <c r="J44" s="21">
        <v>0.19400000000000001</v>
      </c>
      <c r="K44" s="21">
        <v>0.24030000000000001</v>
      </c>
      <c r="L44" s="21">
        <v>0.22559999999999999</v>
      </c>
      <c r="M44" s="21">
        <v>0.224</v>
      </c>
      <c r="N44" s="21">
        <v>0.17829999999999999</v>
      </c>
      <c r="O44" s="21">
        <v>0.21410000000000001</v>
      </c>
      <c r="P44" s="21">
        <v>0.17710000000000001</v>
      </c>
      <c r="Q44" s="21">
        <v>0.20949999999999999</v>
      </c>
      <c r="R44" s="21">
        <v>0.16839999999999999</v>
      </c>
      <c r="S44" s="21">
        <v>0.18870000000000001</v>
      </c>
      <c r="T44" s="21">
        <v>0.20399999999999999</v>
      </c>
      <c r="U44" s="21">
        <v>0.17699999999999999</v>
      </c>
      <c r="V44" s="21">
        <v>0.1784</v>
      </c>
      <c r="W44" s="21">
        <v>0.17180000000000001</v>
      </c>
      <c r="X44" s="21">
        <v>0.20860000000000001</v>
      </c>
      <c r="Y44" s="21">
        <v>0.192</v>
      </c>
      <c r="Z44" t="s">
        <v>251</v>
      </c>
    </row>
    <row r="100" spans="1:2" x14ac:dyDescent="0.3">
      <c r="A100" t="s">
        <v>3319</v>
      </c>
      <c r="B100" t="s">
        <v>3318</v>
      </c>
    </row>
    <row r="101" spans="1:2" x14ac:dyDescent="0.3">
      <c r="A101" s="19" t="s">
        <v>913</v>
      </c>
      <c r="B101">
        <v>5</v>
      </c>
    </row>
    <row r="102" spans="1:2" x14ac:dyDescent="0.3">
      <c r="A102" s="19" t="s">
        <v>650</v>
      </c>
      <c r="B102">
        <v>5</v>
      </c>
    </row>
    <row r="103" spans="1:2" x14ac:dyDescent="0.3">
      <c r="A103" s="20" t="s">
        <v>1113</v>
      </c>
      <c r="B103">
        <v>5</v>
      </c>
    </row>
    <row r="104" spans="1:2" x14ac:dyDescent="0.3">
      <c r="A104" s="19" t="s">
        <v>1072</v>
      </c>
      <c r="B104">
        <v>4</v>
      </c>
    </row>
    <row r="105" spans="1:2" x14ac:dyDescent="0.3">
      <c r="A105" s="19" t="s">
        <v>586</v>
      </c>
      <c r="B105">
        <v>4</v>
      </c>
    </row>
    <row r="106" spans="1:2" x14ac:dyDescent="0.3">
      <c r="A106" s="19" t="s">
        <v>1524</v>
      </c>
      <c r="B106">
        <v>4</v>
      </c>
    </row>
    <row r="107" spans="1:2" x14ac:dyDescent="0.3">
      <c r="A107" s="19" t="s">
        <v>252</v>
      </c>
      <c r="B107">
        <v>3</v>
      </c>
    </row>
    <row r="108" spans="1:2" x14ac:dyDescent="0.3">
      <c r="A108" s="19" t="s">
        <v>1516</v>
      </c>
      <c r="B108">
        <v>3</v>
      </c>
    </row>
    <row r="109" spans="1:2" x14ac:dyDescent="0.3">
      <c r="A109" s="20" t="s">
        <v>1230</v>
      </c>
      <c r="B109">
        <v>2</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B0F35-4FA3-400F-9E64-0D9F854725B5}">
  <sheetPr>
    <tabColor rgb="FFFFFF00"/>
  </sheetPr>
  <dimension ref="A1:F49"/>
  <sheetViews>
    <sheetView workbookViewId="0"/>
  </sheetViews>
  <sheetFormatPr defaultRowHeight="14.4" x14ac:dyDescent="0.3"/>
  <cols>
    <col min="2" max="2" width="13.21875" style="7" customWidth="1"/>
    <col min="3" max="3" width="88.88671875" customWidth="1"/>
    <col min="4" max="4" width="16.5546875" customWidth="1"/>
    <col min="5" max="5" width="41.109375" customWidth="1"/>
    <col min="6" max="6" width="42.33203125" customWidth="1"/>
  </cols>
  <sheetData>
    <row r="1" spans="1:6" x14ac:dyDescent="0.3">
      <c r="A1" t="s">
        <v>112</v>
      </c>
      <c r="B1" s="7" t="s">
        <v>111</v>
      </c>
      <c r="C1" t="s">
        <v>110</v>
      </c>
      <c r="D1" t="s">
        <v>3294</v>
      </c>
      <c r="E1" t="s">
        <v>109</v>
      </c>
      <c r="F1" t="s">
        <v>3302</v>
      </c>
    </row>
    <row r="2" spans="1:6" x14ac:dyDescent="0.3">
      <c r="A2" t="s">
        <v>12</v>
      </c>
      <c r="B2" s="7">
        <v>44754</v>
      </c>
      <c r="C2" s="12" t="s">
        <v>2659</v>
      </c>
      <c r="D2" t="s">
        <v>3279</v>
      </c>
    </row>
    <row r="3" spans="1:6" x14ac:dyDescent="0.3">
      <c r="A3" t="s">
        <v>12</v>
      </c>
      <c r="B3" s="7">
        <v>45118</v>
      </c>
      <c r="C3" s="12" t="s">
        <v>2659</v>
      </c>
      <c r="D3" t="s">
        <v>3279</v>
      </c>
      <c r="E3" t="s">
        <v>3291</v>
      </c>
    </row>
    <row r="4" spans="1:6" x14ac:dyDescent="0.3">
      <c r="A4" t="s">
        <v>12</v>
      </c>
      <c r="B4" s="7">
        <v>45323</v>
      </c>
      <c r="C4" t="s">
        <v>3288</v>
      </c>
      <c r="D4" t="s">
        <v>3279</v>
      </c>
    </row>
    <row r="5" spans="1:6" x14ac:dyDescent="0.3">
      <c r="A5" t="s">
        <v>12</v>
      </c>
      <c r="B5" s="7">
        <v>45412</v>
      </c>
      <c r="C5" t="s">
        <v>3287</v>
      </c>
      <c r="D5" t="s">
        <v>3279</v>
      </c>
    </row>
    <row r="6" spans="1:6" x14ac:dyDescent="0.3">
      <c r="A6" t="s">
        <v>12</v>
      </c>
      <c r="B6" s="7">
        <v>45489</v>
      </c>
      <c r="C6" t="s">
        <v>2659</v>
      </c>
      <c r="D6" t="s">
        <v>3279</v>
      </c>
      <c r="E6" t="s">
        <v>3290</v>
      </c>
    </row>
    <row r="7" spans="1:6" x14ac:dyDescent="0.3">
      <c r="A7" t="s">
        <v>12</v>
      </c>
      <c r="B7" s="7">
        <v>45505</v>
      </c>
      <c r="C7" t="s">
        <v>3286</v>
      </c>
      <c r="D7" t="s">
        <v>3279</v>
      </c>
    </row>
    <row r="8" spans="1:6" x14ac:dyDescent="0.3">
      <c r="A8" t="s">
        <v>12</v>
      </c>
      <c r="B8" s="7">
        <v>45596</v>
      </c>
      <c r="C8" t="s">
        <v>3285</v>
      </c>
      <c r="D8" t="s">
        <v>3279</v>
      </c>
    </row>
    <row r="9" spans="1:6" x14ac:dyDescent="0.3">
      <c r="A9" t="s">
        <v>12</v>
      </c>
      <c r="B9" s="7">
        <v>45694</v>
      </c>
      <c r="C9" t="s">
        <v>3284</v>
      </c>
      <c r="D9" t="s">
        <v>3279</v>
      </c>
    </row>
    <row r="10" spans="1:6" x14ac:dyDescent="0.3">
      <c r="A10" t="s">
        <v>12</v>
      </c>
      <c r="B10" s="7">
        <v>45778</v>
      </c>
      <c r="C10" t="s">
        <v>3283</v>
      </c>
      <c r="D10" t="s">
        <v>3279</v>
      </c>
    </row>
    <row r="11" spans="1:6" x14ac:dyDescent="0.3">
      <c r="A11" t="s">
        <v>12</v>
      </c>
      <c r="B11" s="7">
        <v>45846</v>
      </c>
      <c r="C11" t="s">
        <v>2659</v>
      </c>
      <c r="D11" t="s">
        <v>3279</v>
      </c>
      <c r="E11" t="s">
        <v>3289</v>
      </c>
    </row>
    <row r="12" spans="1:6" x14ac:dyDescent="0.3">
      <c r="A12" t="s">
        <v>12</v>
      </c>
      <c r="B12" s="7">
        <v>45869</v>
      </c>
      <c r="C12" t="s">
        <v>3282</v>
      </c>
      <c r="D12" t="s">
        <v>3279</v>
      </c>
    </row>
    <row r="13" spans="1:6" x14ac:dyDescent="0.3">
      <c r="A13" t="s">
        <v>12</v>
      </c>
      <c r="B13" s="7">
        <v>45953</v>
      </c>
      <c r="C13" t="s">
        <v>3281</v>
      </c>
      <c r="D13" t="s">
        <v>3278</v>
      </c>
    </row>
    <row r="14" spans="1:6" x14ac:dyDescent="0.3">
      <c r="A14" t="s">
        <v>12</v>
      </c>
      <c r="B14" s="7">
        <v>45960</v>
      </c>
      <c r="C14" t="s">
        <v>3281</v>
      </c>
      <c r="D14" t="s">
        <v>3279</v>
      </c>
    </row>
    <row r="15" spans="1:6" x14ac:dyDescent="0.3">
      <c r="A15" t="s">
        <v>12</v>
      </c>
      <c r="B15" s="7">
        <v>45960</v>
      </c>
      <c r="C15" t="s">
        <v>3281</v>
      </c>
      <c r="D15" t="s">
        <v>3279</v>
      </c>
    </row>
    <row r="16" spans="1:6" x14ac:dyDescent="0.3">
      <c r="A16" t="s">
        <v>12</v>
      </c>
      <c r="B16" s="7">
        <v>46058</v>
      </c>
      <c r="C16" t="s">
        <v>3280</v>
      </c>
      <c r="D16" t="s">
        <v>3279</v>
      </c>
    </row>
    <row r="17" spans="1:6" x14ac:dyDescent="0.3">
      <c r="A17" t="s">
        <v>98</v>
      </c>
      <c r="B17" s="7">
        <v>45030</v>
      </c>
      <c r="C17" s="15" t="s">
        <v>3298</v>
      </c>
      <c r="D17" t="s">
        <v>3279</v>
      </c>
      <c r="F17" t="s">
        <v>3308</v>
      </c>
    </row>
    <row r="18" spans="1:6" x14ac:dyDescent="0.3">
      <c r="A18" t="s">
        <v>98</v>
      </c>
      <c r="B18" s="7">
        <v>45068</v>
      </c>
      <c r="C18" t="s">
        <v>3293</v>
      </c>
      <c r="D18" t="s">
        <v>3279</v>
      </c>
      <c r="E18" t="s">
        <v>3297</v>
      </c>
      <c r="F18" t="s">
        <v>3309</v>
      </c>
    </row>
    <row r="19" spans="1:6" x14ac:dyDescent="0.3">
      <c r="A19" t="s">
        <v>98</v>
      </c>
      <c r="B19" s="7">
        <v>45112</v>
      </c>
      <c r="C19" t="s">
        <v>113</v>
      </c>
      <c r="D19" t="s">
        <v>3279</v>
      </c>
      <c r="F19" t="s">
        <v>3304</v>
      </c>
    </row>
    <row r="20" spans="1:6" x14ac:dyDescent="0.3">
      <c r="A20" t="s">
        <v>98</v>
      </c>
      <c r="B20" s="7">
        <v>45121</v>
      </c>
      <c r="C20" s="15" t="s">
        <v>3299</v>
      </c>
      <c r="D20" t="s">
        <v>3279</v>
      </c>
      <c r="F20" t="s">
        <v>3304</v>
      </c>
    </row>
    <row r="21" spans="1:6" x14ac:dyDescent="0.3">
      <c r="A21" t="s">
        <v>98</v>
      </c>
      <c r="B21" s="7">
        <v>45204</v>
      </c>
      <c r="C21" t="s">
        <v>113</v>
      </c>
      <c r="D21" t="s">
        <v>3279</v>
      </c>
      <c r="F21" t="s">
        <v>3304</v>
      </c>
    </row>
    <row r="22" spans="1:6" x14ac:dyDescent="0.3">
      <c r="A22" t="s">
        <v>98</v>
      </c>
      <c r="B22" s="7">
        <v>45212</v>
      </c>
      <c r="C22" s="13" t="s">
        <v>3300</v>
      </c>
      <c r="D22" t="s">
        <v>3279</v>
      </c>
      <c r="F22" t="s">
        <v>3305</v>
      </c>
    </row>
    <row r="23" spans="1:6" x14ac:dyDescent="0.3">
      <c r="A23" t="s">
        <v>98</v>
      </c>
      <c r="B23" s="7">
        <v>45295</v>
      </c>
      <c r="C23" t="s">
        <v>113</v>
      </c>
      <c r="D23" t="s">
        <v>3279</v>
      </c>
      <c r="F23" t="s">
        <v>3306</v>
      </c>
    </row>
    <row r="24" spans="1:6" x14ac:dyDescent="0.3">
      <c r="A24" t="s">
        <v>98</v>
      </c>
      <c r="B24" s="7">
        <v>45303</v>
      </c>
      <c r="C24" s="13" t="s">
        <v>3288</v>
      </c>
      <c r="D24" t="s">
        <v>3279</v>
      </c>
      <c r="F24" t="s">
        <v>3307</v>
      </c>
    </row>
    <row r="25" spans="1:6" x14ac:dyDescent="0.3">
      <c r="A25" t="s">
        <v>98</v>
      </c>
      <c r="B25" s="7">
        <v>45386</v>
      </c>
      <c r="C25" t="s">
        <v>113</v>
      </c>
      <c r="D25" t="s">
        <v>3279</v>
      </c>
      <c r="F25" t="s">
        <v>3306</v>
      </c>
    </row>
    <row r="26" spans="1:6" x14ac:dyDescent="0.3">
      <c r="A26" t="s">
        <v>98</v>
      </c>
      <c r="B26" s="7">
        <v>45394</v>
      </c>
      <c r="C26" s="13" t="s">
        <v>3287</v>
      </c>
      <c r="D26" t="s">
        <v>3279</v>
      </c>
      <c r="F26" t="s">
        <v>3307</v>
      </c>
    </row>
    <row r="27" spans="1:6" x14ac:dyDescent="0.3">
      <c r="A27" t="s">
        <v>98</v>
      </c>
      <c r="B27" s="7">
        <v>45432</v>
      </c>
      <c r="C27" t="s">
        <v>3293</v>
      </c>
      <c r="D27" t="s">
        <v>3279</v>
      </c>
      <c r="E27" t="s">
        <v>3296</v>
      </c>
      <c r="F27" t="s">
        <v>3307</v>
      </c>
    </row>
    <row r="28" spans="1:6" x14ac:dyDescent="0.3">
      <c r="A28" t="s">
        <v>98</v>
      </c>
      <c r="B28" s="7">
        <v>45478</v>
      </c>
      <c r="C28" t="s">
        <v>113</v>
      </c>
      <c r="D28" t="s">
        <v>3279</v>
      </c>
      <c r="F28" t="s">
        <v>3306</v>
      </c>
    </row>
    <row r="29" spans="1:6" x14ac:dyDescent="0.3">
      <c r="A29" t="s">
        <v>98</v>
      </c>
      <c r="B29" s="7">
        <v>45485</v>
      </c>
      <c r="C29" s="15" t="s">
        <v>3286</v>
      </c>
      <c r="D29" t="s">
        <v>3279</v>
      </c>
      <c r="F29" t="s">
        <v>3304</v>
      </c>
    </row>
    <row r="30" spans="1:6" x14ac:dyDescent="0.3">
      <c r="A30" t="s">
        <v>98</v>
      </c>
      <c r="B30" s="7">
        <v>45569</v>
      </c>
      <c r="C30" t="s">
        <v>113</v>
      </c>
      <c r="D30" t="s">
        <v>3279</v>
      </c>
      <c r="F30" t="s">
        <v>3304</v>
      </c>
    </row>
    <row r="31" spans="1:6" x14ac:dyDescent="0.3">
      <c r="A31" t="s">
        <v>98</v>
      </c>
      <c r="B31" s="7">
        <v>45576</v>
      </c>
      <c r="C31" s="15" t="s">
        <v>3285</v>
      </c>
      <c r="D31" t="s">
        <v>3279</v>
      </c>
      <c r="F31" t="s">
        <v>3310</v>
      </c>
    </row>
    <row r="32" spans="1:6" x14ac:dyDescent="0.3">
      <c r="A32" t="s">
        <v>98</v>
      </c>
      <c r="B32" s="7">
        <v>45663</v>
      </c>
      <c r="C32" t="s">
        <v>113</v>
      </c>
      <c r="D32" t="s">
        <v>3279</v>
      </c>
      <c r="F32" t="s">
        <v>3304</v>
      </c>
    </row>
    <row r="33" spans="1:6" x14ac:dyDescent="0.3">
      <c r="A33" t="s">
        <v>98</v>
      </c>
      <c r="B33" s="7">
        <v>45672</v>
      </c>
      <c r="C33" s="15" t="s">
        <v>3284</v>
      </c>
      <c r="D33" t="s">
        <v>3279</v>
      </c>
      <c r="F33" t="s">
        <v>3304</v>
      </c>
    </row>
    <row r="34" spans="1:6" x14ac:dyDescent="0.3">
      <c r="A34" t="s">
        <v>98</v>
      </c>
      <c r="B34" s="7">
        <v>45751</v>
      </c>
      <c r="C34" t="s">
        <v>113</v>
      </c>
      <c r="D34" t="s">
        <v>3279</v>
      </c>
      <c r="F34" t="s">
        <v>3306</v>
      </c>
    </row>
    <row r="35" spans="1:6" x14ac:dyDescent="0.3">
      <c r="A35" t="s">
        <v>98</v>
      </c>
      <c r="B35" s="7">
        <v>45758</v>
      </c>
      <c r="C35" t="s">
        <v>3283</v>
      </c>
      <c r="D35" t="s">
        <v>3279</v>
      </c>
      <c r="F35" t="s">
        <v>3306</v>
      </c>
    </row>
    <row r="36" spans="1:6" x14ac:dyDescent="0.3">
      <c r="A36" t="s">
        <v>98</v>
      </c>
      <c r="B36" s="7">
        <v>45796</v>
      </c>
      <c r="C36" t="s">
        <v>3293</v>
      </c>
      <c r="D36" t="s">
        <v>3279</v>
      </c>
      <c r="E36" t="s">
        <v>3295</v>
      </c>
      <c r="F36" t="s">
        <v>3303</v>
      </c>
    </row>
    <row r="37" spans="1:6" x14ac:dyDescent="0.3">
      <c r="A37" t="s">
        <v>98</v>
      </c>
      <c r="B37" s="7">
        <v>45841</v>
      </c>
      <c r="C37" t="s">
        <v>113</v>
      </c>
      <c r="D37" t="s">
        <v>3279</v>
      </c>
      <c r="F37" t="s">
        <v>3305</v>
      </c>
    </row>
    <row r="38" spans="1:6" x14ac:dyDescent="0.3">
      <c r="A38" t="s">
        <v>98</v>
      </c>
      <c r="B38" s="7">
        <v>45853</v>
      </c>
      <c r="C38" s="15" t="s">
        <v>3282</v>
      </c>
      <c r="D38" t="s">
        <v>3279</v>
      </c>
      <c r="F38" t="s">
        <v>3304</v>
      </c>
    </row>
    <row r="39" spans="1:6" x14ac:dyDescent="0.3">
      <c r="A39" t="s">
        <v>98</v>
      </c>
      <c r="B39" s="7">
        <v>45936</v>
      </c>
      <c r="C39" t="s">
        <v>113</v>
      </c>
      <c r="D39" t="s">
        <v>3279</v>
      </c>
      <c r="F39" t="s">
        <v>3305</v>
      </c>
    </row>
    <row r="40" spans="1:6" x14ac:dyDescent="0.3">
      <c r="A40" t="s">
        <v>98</v>
      </c>
      <c r="B40" s="7">
        <v>45944</v>
      </c>
      <c r="C40" s="13" t="s">
        <v>3281</v>
      </c>
      <c r="D40" t="s">
        <v>3279</v>
      </c>
      <c r="F40" t="s">
        <v>3305</v>
      </c>
    </row>
    <row r="41" spans="1:6" x14ac:dyDescent="0.3">
      <c r="A41" t="s">
        <v>98</v>
      </c>
      <c r="B41" s="7">
        <v>46028</v>
      </c>
      <c r="C41" s="4" t="s">
        <v>99</v>
      </c>
      <c r="D41" t="s">
        <v>3279</v>
      </c>
      <c r="F41" t="s">
        <v>3308</v>
      </c>
    </row>
    <row r="42" spans="1:6" ht="316.8" x14ac:dyDescent="0.3">
      <c r="A42" t="s">
        <v>98</v>
      </c>
      <c r="B42" s="7">
        <v>46029</v>
      </c>
      <c r="C42" s="4" t="s">
        <v>3321</v>
      </c>
      <c r="D42" t="s">
        <v>3279</v>
      </c>
    </row>
    <row r="43" spans="1:6" ht="302.39999999999998" x14ac:dyDescent="0.3">
      <c r="A43" t="s">
        <v>98</v>
      </c>
      <c r="B43" s="7">
        <v>46034</v>
      </c>
      <c r="C43" s="18" t="s">
        <v>3317</v>
      </c>
      <c r="D43" t="s">
        <v>3279</v>
      </c>
      <c r="F43" t="s">
        <v>3316</v>
      </c>
    </row>
    <row r="44" spans="1:6" x14ac:dyDescent="0.3">
      <c r="A44" t="s">
        <v>98</v>
      </c>
      <c r="B44" s="7">
        <v>46035</v>
      </c>
      <c r="C44" t="s">
        <v>3280</v>
      </c>
      <c r="D44" t="s">
        <v>3279</v>
      </c>
    </row>
    <row r="45" spans="1:6" x14ac:dyDescent="0.3">
      <c r="A45" t="s">
        <v>98</v>
      </c>
      <c r="B45" s="7">
        <v>46076</v>
      </c>
      <c r="C45" t="s">
        <v>3292</v>
      </c>
      <c r="D45" t="s">
        <v>3278</v>
      </c>
    </row>
    <row r="46" spans="1:6" x14ac:dyDescent="0.3">
      <c r="A46" t="s">
        <v>77</v>
      </c>
      <c r="C46" s="4"/>
      <c r="D46" s="4"/>
    </row>
    <row r="47" spans="1:6" x14ac:dyDescent="0.3">
      <c r="A47" t="s">
        <v>77</v>
      </c>
    </row>
    <row r="48" spans="1:6" x14ac:dyDescent="0.3">
      <c r="A48" t="s">
        <v>77</v>
      </c>
    </row>
    <row r="49" spans="1:3" x14ac:dyDescent="0.3">
      <c r="A49" t="s">
        <v>3382</v>
      </c>
      <c r="B49" s="7">
        <v>46185</v>
      </c>
      <c r="C49" t="s">
        <v>3383</v>
      </c>
    </row>
  </sheetData>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6B712-B217-4E5D-B010-F55B7138A550}">
  <sheetPr>
    <tabColor rgb="FFFFFF00"/>
  </sheetPr>
  <dimension ref="A1:D80"/>
  <sheetViews>
    <sheetView workbookViewId="0">
      <selection activeCell="D11" sqref="D11"/>
    </sheetView>
  </sheetViews>
  <sheetFormatPr defaultRowHeight="14.4" x14ac:dyDescent="0.3"/>
  <cols>
    <col min="2" max="2" width="42.5546875" bestFit="1" customWidth="1"/>
    <col min="3" max="3" width="42.5546875" customWidth="1"/>
    <col min="4" max="4" width="105.44140625" style="28" bestFit="1" customWidth="1"/>
  </cols>
  <sheetData>
    <row r="1" spans="1:4" x14ac:dyDescent="0.3">
      <c r="A1" t="s">
        <v>112</v>
      </c>
      <c r="B1" t="s">
        <v>110</v>
      </c>
      <c r="C1" t="s">
        <v>3456</v>
      </c>
      <c r="D1" s="28" t="s">
        <v>109</v>
      </c>
    </row>
    <row r="2" spans="1:4" x14ac:dyDescent="0.3">
      <c r="A2" s="24" t="s">
        <v>3391</v>
      </c>
      <c r="B2" s="26" t="s">
        <v>3293</v>
      </c>
      <c r="C2" s="26" t="s">
        <v>3279</v>
      </c>
      <c r="D2" s="30" t="s">
        <v>3392</v>
      </c>
    </row>
    <row r="3" spans="1:4" x14ac:dyDescent="0.3">
      <c r="A3" s="24" t="s">
        <v>3391</v>
      </c>
      <c r="B3" s="26" t="s">
        <v>3312</v>
      </c>
      <c r="C3" s="26" t="s">
        <v>3279</v>
      </c>
      <c r="D3" s="30" t="s">
        <v>3393</v>
      </c>
    </row>
    <row r="4" spans="1:4" x14ac:dyDescent="0.3">
      <c r="A4" s="24" t="s">
        <v>3391</v>
      </c>
      <c r="B4" s="26" t="s">
        <v>3313</v>
      </c>
      <c r="C4" s="26" t="s">
        <v>3279</v>
      </c>
      <c r="D4" s="30" t="s">
        <v>3394</v>
      </c>
    </row>
    <row r="5" spans="1:4" x14ac:dyDescent="0.3">
      <c r="A5" s="24" t="s">
        <v>3391</v>
      </c>
      <c r="B5" s="26" t="s">
        <v>3313</v>
      </c>
      <c r="C5" s="26" t="s">
        <v>3279</v>
      </c>
      <c r="D5" s="30" t="s">
        <v>3395</v>
      </c>
    </row>
    <row r="6" spans="1:4" x14ac:dyDescent="0.3">
      <c r="A6" s="24" t="s">
        <v>3391</v>
      </c>
      <c r="B6" s="26" t="s">
        <v>3320</v>
      </c>
      <c r="C6" s="26" t="s">
        <v>3279</v>
      </c>
      <c r="D6" s="30" t="s">
        <v>3396</v>
      </c>
    </row>
    <row r="7" spans="1:4" x14ac:dyDescent="0.3">
      <c r="A7" s="24" t="s">
        <v>3391</v>
      </c>
      <c r="B7" t="s">
        <v>113</v>
      </c>
      <c r="C7" s="26" t="s">
        <v>3279</v>
      </c>
      <c r="D7" s="28" t="s">
        <v>3447</v>
      </c>
    </row>
    <row r="8" spans="1:4" x14ac:dyDescent="0.3">
      <c r="A8" t="s">
        <v>98</v>
      </c>
      <c r="B8" s="4" t="s">
        <v>99</v>
      </c>
      <c r="C8" s="4"/>
    </row>
    <row r="9" spans="1:4" x14ac:dyDescent="0.3">
      <c r="A9" t="s">
        <v>98</v>
      </c>
      <c r="B9" t="s">
        <v>107</v>
      </c>
    </row>
    <row r="10" spans="1:4" x14ac:dyDescent="0.3">
      <c r="A10" t="s">
        <v>98</v>
      </c>
      <c r="B10" t="s">
        <v>108</v>
      </c>
    </row>
    <row r="11" spans="1:4" x14ac:dyDescent="0.3">
      <c r="A11" t="s">
        <v>98</v>
      </c>
      <c r="B11" t="s">
        <v>113</v>
      </c>
    </row>
    <row r="12" spans="1:4" x14ac:dyDescent="0.3">
      <c r="A12" t="s">
        <v>98</v>
      </c>
      <c r="B12" t="s">
        <v>3293</v>
      </c>
      <c r="C12" t="s">
        <v>3279</v>
      </c>
      <c r="D12" s="29" t="s">
        <v>3301</v>
      </c>
    </row>
    <row r="13" spans="1:4" x14ac:dyDescent="0.3">
      <c r="A13" t="s">
        <v>98</v>
      </c>
      <c r="B13" t="s">
        <v>3312</v>
      </c>
      <c r="C13" t="s">
        <v>3279</v>
      </c>
      <c r="D13" s="29" t="s">
        <v>3311</v>
      </c>
    </row>
    <row r="14" spans="1:4" ht="15" thickBot="1" x14ac:dyDescent="0.35">
      <c r="A14" t="s">
        <v>98</v>
      </c>
      <c r="B14" t="s">
        <v>3313</v>
      </c>
      <c r="C14" t="s">
        <v>3279</v>
      </c>
      <c r="D14" s="28" t="s">
        <v>3314</v>
      </c>
    </row>
    <row r="15" spans="1:4" ht="15" thickBot="1" x14ac:dyDescent="0.35">
      <c r="A15" s="25" t="s">
        <v>98</v>
      </c>
      <c r="B15" s="25" t="s">
        <v>3313</v>
      </c>
      <c r="C15" s="25" t="s">
        <v>3279</v>
      </c>
      <c r="D15" s="31" t="s">
        <v>3315</v>
      </c>
    </row>
    <row r="16" spans="1:4" ht="15" thickBot="1" x14ac:dyDescent="0.35">
      <c r="A16" s="25" t="s">
        <v>98</v>
      </c>
      <c r="B16" s="25" t="s">
        <v>3320</v>
      </c>
      <c r="C16" s="25" t="s">
        <v>3279</v>
      </c>
      <c r="D16" s="32" t="s">
        <v>3384</v>
      </c>
    </row>
    <row r="17" spans="1:4" ht="15" thickBot="1" x14ac:dyDescent="0.35">
      <c r="A17" s="22" t="s">
        <v>98</v>
      </c>
      <c r="B17" s="25" t="s">
        <v>113</v>
      </c>
      <c r="C17" s="23" t="s">
        <v>3279</v>
      </c>
      <c r="D17" s="31" t="s">
        <v>3445</v>
      </c>
    </row>
    <row r="18" spans="1:4" ht="15" thickBot="1" x14ac:dyDescent="0.35">
      <c r="A18" s="22" t="s">
        <v>3397</v>
      </c>
      <c r="B18" s="23" t="s">
        <v>3293</v>
      </c>
      <c r="C18" s="23" t="s">
        <v>3279</v>
      </c>
      <c r="D18" s="33" t="s">
        <v>3398</v>
      </c>
    </row>
    <row r="19" spans="1:4" ht="15" thickBot="1" x14ac:dyDescent="0.35">
      <c r="A19" s="22" t="s">
        <v>3397</v>
      </c>
      <c r="B19" s="23" t="s">
        <v>3312</v>
      </c>
      <c r="C19" s="23" t="s">
        <v>3279</v>
      </c>
      <c r="D19" s="33" t="s">
        <v>3399</v>
      </c>
    </row>
    <row r="20" spans="1:4" ht="15" thickBot="1" x14ac:dyDescent="0.35">
      <c r="A20" s="22" t="s">
        <v>3397</v>
      </c>
      <c r="B20" s="23" t="s">
        <v>3313</v>
      </c>
      <c r="C20" s="23" t="s">
        <v>3279</v>
      </c>
      <c r="D20" s="33" t="s">
        <v>3400</v>
      </c>
    </row>
    <row r="21" spans="1:4" ht="15" thickBot="1" x14ac:dyDescent="0.35">
      <c r="A21" s="22" t="s">
        <v>3397</v>
      </c>
      <c r="B21" s="23" t="s">
        <v>3313</v>
      </c>
      <c r="C21" s="23" t="s">
        <v>3279</v>
      </c>
      <c r="D21" s="33" t="s">
        <v>3401</v>
      </c>
    </row>
    <row r="22" spans="1:4" ht="15" thickBot="1" x14ac:dyDescent="0.35">
      <c r="A22" s="22" t="s">
        <v>3397</v>
      </c>
      <c r="B22" s="23" t="s">
        <v>3320</v>
      </c>
      <c r="C22" s="23" t="s">
        <v>3279</v>
      </c>
      <c r="D22" s="33" t="s">
        <v>3402</v>
      </c>
    </row>
    <row r="23" spans="1:4" ht="15" thickBot="1" x14ac:dyDescent="0.35">
      <c r="A23" s="22" t="s">
        <v>3397</v>
      </c>
      <c r="B23" s="25" t="s">
        <v>113</v>
      </c>
      <c r="C23" s="23" t="s">
        <v>3279</v>
      </c>
      <c r="D23" s="31" t="s">
        <v>3448</v>
      </c>
    </row>
    <row r="24" spans="1:4" ht="15" thickBot="1" x14ac:dyDescent="0.35">
      <c r="A24" s="22" t="s">
        <v>3433</v>
      </c>
      <c r="B24" s="23" t="s">
        <v>3293</v>
      </c>
      <c r="C24" s="23" t="s">
        <v>3279</v>
      </c>
      <c r="D24" s="33" t="s">
        <v>3434</v>
      </c>
    </row>
    <row r="25" spans="1:4" ht="15" thickBot="1" x14ac:dyDescent="0.35">
      <c r="A25" s="22" t="s">
        <v>3433</v>
      </c>
      <c r="B25" s="23" t="s">
        <v>3312</v>
      </c>
      <c r="C25" s="23" t="s">
        <v>3279</v>
      </c>
      <c r="D25" s="33" t="s">
        <v>3435</v>
      </c>
    </row>
    <row r="26" spans="1:4" ht="15" thickBot="1" x14ac:dyDescent="0.35">
      <c r="A26" s="22" t="s">
        <v>3433</v>
      </c>
      <c r="B26" s="23" t="s">
        <v>3313</v>
      </c>
      <c r="C26" s="23" t="s">
        <v>3279</v>
      </c>
      <c r="D26" s="33" t="s">
        <v>3436</v>
      </c>
    </row>
    <row r="27" spans="1:4" ht="15" thickBot="1" x14ac:dyDescent="0.35">
      <c r="A27" s="22" t="s">
        <v>3433</v>
      </c>
      <c r="B27" s="23" t="s">
        <v>3313</v>
      </c>
      <c r="C27" s="23" t="s">
        <v>3279</v>
      </c>
      <c r="D27" s="33" t="s">
        <v>3437</v>
      </c>
    </row>
    <row r="28" spans="1:4" ht="15" thickBot="1" x14ac:dyDescent="0.35">
      <c r="A28" s="22" t="s">
        <v>3433</v>
      </c>
      <c r="B28" s="23" t="s">
        <v>3320</v>
      </c>
      <c r="C28" s="23" t="s">
        <v>3279</v>
      </c>
      <c r="D28" s="33" t="s">
        <v>3438</v>
      </c>
    </row>
    <row r="29" spans="1:4" ht="15" thickBot="1" x14ac:dyDescent="0.35">
      <c r="A29" s="22" t="s">
        <v>3433</v>
      </c>
      <c r="B29" s="25" t="s">
        <v>113</v>
      </c>
      <c r="C29" s="23" t="s">
        <v>3279</v>
      </c>
      <c r="D29" s="31" t="s">
        <v>3454</v>
      </c>
    </row>
    <row r="30" spans="1:4" ht="15" thickBot="1" x14ac:dyDescent="0.35">
      <c r="A30" s="22" t="s">
        <v>3427</v>
      </c>
      <c r="B30" s="23" t="s">
        <v>3293</v>
      </c>
      <c r="C30" s="23" t="s">
        <v>3279</v>
      </c>
      <c r="D30" s="33" t="s">
        <v>3428</v>
      </c>
    </row>
    <row r="31" spans="1:4" ht="15" thickBot="1" x14ac:dyDescent="0.35">
      <c r="A31" s="22" t="s">
        <v>3427</v>
      </c>
      <c r="B31" s="23" t="s">
        <v>3312</v>
      </c>
      <c r="C31" s="23" t="s">
        <v>3279</v>
      </c>
      <c r="D31" s="33" t="s">
        <v>3429</v>
      </c>
    </row>
    <row r="32" spans="1:4" ht="15" thickBot="1" x14ac:dyDescent="0.35">
      <c r="A32" s="22" t="s">
        <v>3427</v>
      </c>
      <c r="B32" s="23" t="s">
        <v>3313</v>
      </c>
      <c r="C32" s="23" t="s">
        <v>3279</v>
      </c>
      <c r="D32" s="33" t="s">
        <v>3430</v>
      </c>
    </row>
    <row r="33" spans="1:4" ht="15" thickBot="1" x14ac:dyDescent="0.35">
      <c r="A33" s="22" t="s">
        <v>3427</v>
      </c>
      <c r="B33" s="23" t="s">
        <v>3313</v>
      </c>
      <c r="C33" s="23" t="s">
        <v>3279</v>
      </c>
      <c r="D33" s="33" t="s">
        <v>3431</v>
      </c>
    </row>
    <row r="34" spans="1:4" ht="15" thickBot="1" x14ac:dyDescent="0.35">
      <c r="A34" s="22" t="s">
        <v>3427</v>
      </c>
      <c r="B34" s="23" t="s">
        <v>3320</v>
      </c>
      <c r="C34" s="23" t="s">
        <v>3279</v>
      </c>
      <c r="D34" s="33" t="s">
        <v>3432</v>
      </c>
    </row>
    <row r="35" spans="1:4" ht="15" thickBot="1" x14ac:dyDescent="0.35">
      <c r="A35" s="22" t="s">
        <v>3427</v>
      </c>
      <c r="B35" s="25" t="s">
        <v>113</v>
      </c>
      <c r="C35" s="23" t="s">
        <v>3279</v>
      </c>
      <c r="D35" s="31" t="s">
        <v>3453</v>
      </c>
    </row>
    <row r="36" spans="1:4" ht="15" thickBot="1" x14ac:dyDescent="0.35">
      <c r="A36" s="22" t="s">
        <v>3403</v>
      </c>
      <c r="B36" s="23" t="s">
        <v>3293</v>
      </c>
      <c r="C36" s="23" t="s">
        <v>3279</v>
      </c>
      <c r="D36" s="33" t="s">
        <v>3404</v>
      </c>
    </row>
    <row r="37" spans="1:4" ht="15" thickBot="1" x14ac:dyDescent="0.35">
      <c r="A37" s="22" t="s">
        <v>3403</v>
      </c>
      <c r="B37" s="23" t="s">
        <v>3312</v>
      </c>
      <c r="C37" s="23" t="s">
        <v>3279</v>
      </c>
      <c r="D37" s="33" t="s">
        <v>3405</v>
      </c>
    </row>
    <row r="38" spans="1:4" ht="15" thickBot="1" x14ac:dyDescent="0.35">
      <c r="A38" s="22" t="s">
        <v>3403</v>
      </c>
      <c r="B38" s="23" t="s">
        <v>3313</v>
      </c>
      <c r="C38" s="23" t="s">
        <v>3279</v>
      </c>
      <c r="D38" s="33" t="s">
        <v>3406</v>
      </c>
    </row>
    <row r="39" spans="1:4" ht="15" thickBot="1" x14ac:dyDescent="0.35">
      <c r="A39" s="22" t="s">
        <v>3403</v>
      </c>
      <c r="B39" s="23" t="s">
        <v>3313</v>
      </c>
      <c r="C39" s="23" t="s">
        <v>3279</v>
      </c>
      <c r="D39" s="33" t="s">
        <v>3407</v>
      </c>
    </row>
    <row r="40" spans="1:4" ht="15" thickBot="1" x14ac:dyDescent="0.35">
      <c r="A40" s="22" t="s">
        <v>3403</v>
      </c>
      <c r="B40" s="23" t="s">
        <v>3320</v>
      </c>
      <c r="C40" s="23" t="s">
        <v>3279</v>
      </c>
      <c r="D40" s="33" t="s">
        <v>3408</v>
      </c>
    </row>
    <row r="41" spans="1:4" ht="15" thickBot="1" x14ac:dyDescent="0.35">
      <c r="A41" s="22" t="s">
        <v>3403</v>
      </c>
      <c r="B41" s="25" t="s">
        <v>113</v>
      </c>
      <c r="C41" s="23" t="s">
        <v>3279</v>
      </c>
      <c r="D41" s="31" t="s">
        <v>3449</v>
      </c>
    </row>
    <row r="42" spans="1:4" ht="15" thickBot="1" x14ac:dyDescent="0.35">
      <c r="A42" s="22" t="s">
        <v>3323</v>
      </c>
      <c r="B42" s="23" t="s">
        <v>3293</v>
      </c>
      <c r="C42" s="23" t="s">
        <v>3279</v>
      </c>
      <c r="D42" s="33" t="s">
        <v>3439</v>
      </c>
    </row>
    <row r="43" spans="1:4" ht="15" thickBot="1" x14ac:dyDescent="0.35">
      <c r="A43" s="22" t="s">
        <v>3323</v>
      </c>
      <c r="B43" s="23" t="s">
        <v>3312</v>
      </c>
      <c r="C43" s="23" t="s">
        <v>3279</v>
      </c>
      <c r="D43" s="33" t="s">
        <v>3440</v>
      </c>
    </row>
    <row r="44" spans="1:4" ht="15" thickBot="1" x14ac:dyDescent="0.35">
      <c r="A44" s="22" t="s">
        <v>3323</v>
      </c>
      <c r="B44" s="23" t="s">
        <v>3313</v>
      </c>
      <c r="C44" s="23" t="s">
        <v>3279</v>
      </c>
      <c r="D44" s="33" t="s">
        <v>3441</v>
      </c>
    </row>
    <row r="45" spans="1:4" ht="15" thickBot="1" x14ac:dyDescent="0.35">
      <c r="A45" s="22" t="s">
        <v>3323</v>
      </c>
      <c r="B45" s="23" t="s">
        <v>3313</v>
      </c>
      <c r="C45" s="23" t="s">
        <v>3279</v>
      </c>
      <c r="D45" s="33" t="s">
        <v>3442</v>
      </c>
    </row>
    <row r="46" spans="1:4" ht="15" thickBot="1" x14ac:dyDescent="0.35">
      <c r="A46" s="22" t="s">
        <v>3323</v>
      </c>
      <c r="B46" s="23" t="s">
        <v>3320</v>
      </c>
      <c r="C46" s="23" t="s">
        <v>3279</v>
      </c>
      <c r="D46" s="33" t="s">
        <v>3443</v>
      </c>
    </row>
    <row r="47" spans="1:4" ht="15" thickBot="1" x14ac:dyDescent="0.35">
      <c r="A47" s="22" t="s">
        <v>3323</v>
      </c>
      <c r="B47" s="25" t="s">
        <v>113</v>
      </c>
      <c r="C47" s="23" t="s">
        <v>3279</v>
      </c>
      <c r="D47" s="31" t="s">
        <v>3455</v>
      </c>
    </row>
    <row r="48" spans="1:4" ht="15" thickBot="1" x14ac:dyDescent="0.35">
      <c r="A48" s="25" t="s">
        <v>3382</v>
      </c>
      <c r="B48" s="25"/>
      <c r="C48" s="25"/>
      <c r="D48" s="31"/>
    </row>
    <row r="49" spans="1:4" ht="15" thickBot="1" x14ac:dyDescent="0.35">
      <c r="A49" s="22" t="s">
        <v>3415</v>
      </c>
      <c r="B49" s="23" t="s">
        <v>3293</v>
      </c>
      <c r="C49" s="23" t="s">
        <v>3279</v>
      </c>
      <c r="D49" s="33" t="s">
        <v>3416</v>
      </c>
    </row>
    <row r="50" spans="1:4" ht="15" thickBot="1" x14ac:dyDescent="0.35">
      <c r="A50" s="22" t="s">
        <v>3415</v>
      </c>
      <c r="B50" s="23" t="s">
        <v>3312</v>
      </c>
      <c r="C50" s="23" t="s">
        <v>3279</v>
      </c>
      <c r="D50" s="33" t="s">
        <v>3417</v>
      </c>
    </row>
    <row r="51" spans="1:4" ht="15" thickBot="1" x14ac:dyDescent="0.35">
      <c r="A51" s="22" t="s">
        <v>3415</v>
      </c>
      <c r="B51" s="23" t="s">
        <v>3313</v>
      </c>
      <c r="C51" s="23" t="s">
        <v>3279</v>
      </c>
      <c r="D51" s="33" t="s">
        <v>3418</v>
      </c>
    </row>
    <row r="52" spans="1:4" ht="15" thickBot="1" x14ac:dyDescent="0.35">
      <c r="A52" s="22" t="s">
        <v>3415</v>
      </c>
      <c r="B52" s="23" t="s">
        <v>3313</v>
      </c>
      <c r="C52" s="23" t="s">
        <v>3279</v>
      </c>
      <c r="D52" s="33" t="s">
        <v>3419</v>
      </c>
    </row>
    <row r="53" spans="1:4" ht="15" thickBot="1" x14ac:dyDescent="0.35">
      <c r="A53" s="22" t="s">
        <v>3415</v>
      </c>
      <c r="B53" s="23" t="s">
        <v>3320</v>
      </c>
      <c r="C53" s="23" t="s">
        <v>3279</v>
      </c>
      <c r="D53" s="33" t="s">
        <v>3420</v>
      </c>
    </row>
    <row r="54" spans="1:4" ht="15" thickBot="1" x14ac:dyDescent="0.35">
      <c r="A54" s="22" t="s">
        <v>3415</v>
      </c>
      <c r="B54" s="25" t="s">
        <v>113</v>
      </c>
      <c r="C54" s="23" t="s">
        <v>3279</v>
      </c>
      <c r="D54" s="31" t="s">
        <v>3451</v>
      </c>
    </row>
    <row r="55" spans="1:4" ht="15" thickBot="1" x14ac:dyDescent="0.35">
      <c r="A55" s="22" t="s">
        <v>3421</v>
      </c>
      <c r="B55" s="23" t="s">
        <v>3293</v>
      </c>
      <c r="C55" s="23" t="s">
        <v>3279</v>
      </c>
      <c r="D55" s="33" t="s">
        <v>3422</v>
      </c>
    </row>
    <row r="56" spans="1:4" ht="15" thickBot="1" x14ac:dyDescent="0.35">
      <c r="A56" s="22" t="s">
        <v>3421</v>
      </c>
      <c r="B56" s="23" t="s">
        <v>3312</v>
      </c>
      <c r="C56" s="23" t="s">
        <v>3279</v>
      </c>
      <c r="D56" s="33" t="s">
        <v>3423</v>
      </c>
    </row>
    <row r="57" spans="1:4" ht="15" thickBot="1" x14ac:dyDescent="0.35">
      <c r="A57" s="22" t="s">
        <v>3421</v>
      </c>
      <c r="B57" s="23" t="s">
        <v>3313</v>
      </c>
      <c r="C57" s="23" t="s">
        <v>3279</v>
      </c>
      <c r="D57" s="33" t="s">
        <v>3424</v>
      </c>
    </row>
    <row r="58" spans="1:4" ht="15" thickBot="1" x14ac:dyDescent="0.35">
      <c r="A58" s="22" t="s">
        <v>3421</v>
      </c>
      <c r="B58" s="23" t="s">
        <v>3313</v>
      </c>
      <c r="C58" s="23" t="s">
        <v>3279</v>
      </c>
      <c r="D58" s="33" t="s">
        <v>3425</v>
      </c>
    </row>
    <row r="59" spans="1:4" ht="15" thickBot="1" x14ac:dyDescent="0.35">
      <c r="A59" s="22" t="s">
        <v>3421</v>
      </c>
      <c r="B59" s="23" t="s">
        <v>3320</v>
      </c>
      <c r="C59" s="23" t="s">
        <v>3279</v>
      </c>
      <c r="D59" s="33" t="s">
        <v>3426</v>
      </c>
    </row>
    <row r="60" spans="1:4" ht="15" thickBot="1" x14ac:dyDescent="0.35">
      <c r="A60" s="22" t="s">
        <v>3421</v>
      </c>
      <c r="B60" s="25" t="s">
        <v>113</v>
      </c>
      <c r="C60" s="23" t="s">
        <v>3279</v>
      </c>
      <c r="D60" s="31" t="s">
        <v>3452</v>
      </c>
    </row>
    <row r="61" spans="1:4" ht="15" thickBot="1" x14ac:dyDescent="0.35">
      <c r="A61" s="25" t="s">
        <v>77</v>
      </c>
      <c r="B61" s="27" t="s">
        <v>99</v>
      </c>
      <c r="C61" s="27"/>
      <c r="D61" s="31"/>
    </row>
    <row r="62" spans="1:4" ht="15" thickBot="1" x14ac:dyDescent="0.35">
      <c r="A62" s="25" t="s">
        <v>77</v>
      </c>
      <c r="B62" s="25" t="s">
        <v>107</v>
      </c>
      <c r="C62" s="25"/>
      <c r="D62" s="31"/>
    </row>
    <row r="63" spans="1:4" ht="15" thickBot="1" x14ac:dyDescent="0.35">
      <c r="A63" s="25" t="s">
        <v>77</v>
      </c>
      <c r="B63" s="25" t="s">
        <v>108</v>
      </c>
      <c r="C63" s="25"/>
      <c r="D63" s="31"/>
    </row>
    <row r="64" spans="1:4" ht="15" thickBot="1" x14ac:dyDescent="0.35">
      <c r="A64" s="22" t="s">
        <v>3385</v>
      </c>
      <c r="B64" s="23" t="s">
        <v>3293</v>
      </c>
      <c r="C64" s="23" t="s">
        <v>3279</v>
      </c>
      <c r="D64" s="33" t="s">
        <v>3386</v>
      </c>
    </row>
    <row r="65" spans="1:4" ht="15" thickBot="1" x14ac:dyDescent="0.35">
      <c r="A65" s="22" t="s">
        <v>3385</v>
      </c>
      <c r="B65" s="26" t="s">
        <v>3312</v>
      </c>
      <c r="C65" s="23" t="s">
        <v>3279</v>
      </c>
      <c r="D65" s="30" t="s">
        <v>3387</v>
      </c>
    </row>
    <row r="66" spans="1:4" ht="15" thickBot="1" x14ac:dyDescent="0.35">
      <c r="A66" s="22" t="s">
        <v>3385</v>
      </c>
      <c r="B66" s="26" t="s">
        <v>3313</v>
      </c>
      <c r="C66" s="23" t="s">
        <v>3279</v>
      </c>
      <c r="D66" s="30" t="s">
        <v>3388</v>
      </c>
    </row>
    <row r="67" spans="1:4" ht="15" thickBot="1" x14ac:dyDescent="0.35">
      <c r="A67" s="22" t="s">
        <v>3385</v>
      </c>
      <c r="B67" s="26" t="s">
        <v>3313</v>
      </c>
      <c r="C67" s="23" t="s">
        <v>3279</v>
      </c>
      <c r="D67" s="30" t="s">
        <v>3389</v>
      </c>
    </row>
    <row r="68" spans="1:4" ht="15" thickBot="1" x14ac:dyDescent="0.35">
      <c r="A68" s="22" t="s">
        <v>3385</v>
      </c>
      <c r="B68" s="26" t="s">
        <v>3320</v>
      </c>
      <c r="C68" s="23" t="s">
        <v>3279</v>
      </c>
      <c r="D68" s="30" t="s">
        <v>3390</v>
      </c>
    </row>
    <row r="69" spans="1:4" ht="15" thickBot="1" x14ac:dyDescent="0.35">
      <c r="A69" s="22" t="s">
        <v>3385</v>
      </c>
      <c r="B69" t="s">
        <v>113</v>
      </c>
      <c r="C69" s="23" t="s">
        <v>3279</v>
      </c>
      <c r="D69" s="28" t="s">
        <v>3446</v>
      </c>
    </row>
    <row r="70" spans="1:4" ht="15" thickBot="1" x14ac:dyDescent="0.35">
      <c r="A70" s="22" t="s">
        <v>3444</v>
      </c>
      <c r="B70" t="s">
        <v>113</v>
      </c>
      <c r="C70" s="23" t="s">
        <v>3279</v>
      </c>
      <c r="D70" s="28" t="s">
        <v>3450</v>
      </c>
    </row>
    <row r="71" spans="1:4" ht="42" thickBot="1" x14ac:dyDescent="0.35">
      <c r="A71" s="22" t="s">
        <v>3409</v>
      </c>
      <c r="B71" s="26" t="s">
        <v>3293</v>
      </c>
      <c r="C71" s="23" t="s">
        <v>3279</v>
      </c>
      <c r="D71" s="30" t="s">
        <v>3410</v>
      </c>
    </row>
    <row r="72" spans="1:4" ht="42" thickBot="1" x14ac:dyDescent="0.35">
      <c r="A72" s="22" t="s">
        <v>3409</v>
      </c>
      <c r="B72" s="26" t="s">
        <v>3312</v>
      </c>
      <c r="C72" s="23" t="s">
        <v>3279</v>
      </c>
      <c r="D72" s="30" t="s">
        <v>3411</v>
      </c>
    </row>
    <row r="73" spans="1:4" ht="42" thickBot="1" x14ac:dyDescent="0.35">
      <c r="A73" s="22" t="s">
        <v>3409</v>
      </c>
      <c r="B73" s="26" t="s">
        <v>3313</v>
      </c>
      <c r="C73" s="23" t="s">
        <v>3279</v>
      </c>
      <c r="D73" s="30" t="s">
        <v>3412</v>
      </c>
    </row>
    <row r="74" spans="1:4" ht="42" thickBot="1" x14ac:dyDescent="0.35">
      <c r="A74" s="22" t="s">
        <v>3409</v>
      </c>
      <c r="B74" s="26" t="s">
        <v>3313</v>
      </c>
      <c r="C74" s="23" t="s">
        <v>3279</v>
      </c>
      <c r="D74" s="30" t="s">
        <v>3413</v>
      </c>
    </row>
    <row r="75" spans="1:4" ht="42" thickBot="1" x14ac:dyDescent="0.35">
      <c r="A75" s="22" t="s">
        <v>3409</v>
      </c>
      <c r="B75" s="26" t="s">
        <v>3320</v>
      </c>
      <c r="C75" s="23" t="s">
        <v>3279</v>
      </c>
      <c r="D75" s="30" t="s">
        <v>3414</v>
      </c>
    </row>
    <row r="76" spans="1:4" x14ac:dyDescent="0.3">
      <c r="A76" s="34" t="s">
        <v>12</v>
      </c>
      <c r="B76" t="s">
        <v>3457</v>
      </c>
      <c r="C76" t="s">
        <v>3466</v>
      </c>
      <c r="D76" t="s">
        <v>3467</v>
      </c>
    </row>
    <row r="77" spans="1:4" x14ac:dyDescent="0.3">
      <c r="A77" s="34" t="s">
        <v>12</v>
      </c>
      <c r="B77" t="s">
        <v>3458</v>
      </c>
      <c r="C77" t="s">
        <v>3459</v>
      </c>
      <c r="D77" t="s">
        <v>3468</v>
      </c>
    </row>
    <row r="78" spans="1:4" x14ac:dyDescent="0.3">
      <c r="A78" s="34" t="s">
        <v>12</v>
      </c>
      <c r="B78" t="s">
        <v>3460</v>
      </c>
      <c r="C78" t="s">
        <v>3461</v>
      </c>
      <c r="D78" t="s">
        <v>3469</v>
      </c>
    </row>
    <row r="79" spans="1:4" x14ac:dyDescent="0.3">
      <c r="A79" s="34" t="s">
        <v>12</v>
      </c>
      <c r="B79" t="s">
        <v>3462</v>
      </c>
      <c r="C79" t="s">
        <v>3463</v>
      </c>
      <c r="D79" t="s">
        <v>3470</v>
      </c>
    </row>
    <row r="80" spans="1:4" x14ac:dyDescent="0.3">
      <c r="A80" s="34" t="s">
        <v>12</v>
      </c>
      <c r="B80" t="s">
        <v>3464</v>
      </c>
      <c r="C80" t="s">
        <v>3465</v>
      </c>
      <c r="D80" t="s">
        <v>3471</v>
      </c>
    </row>
  </sheetData>
  <hyperlinks>
    <hyperlink ref="D12" r:id="rId1" xr:uid="{324FDAA0-7BF2-423B-89A2-032D6E7AEB5C}"/>
    <hyperlink ref="D13" r:id="rId2" xr:uid="{C6EA9FC9-7063-4360-A516-6C341D138363}"/>
    <hyperlink ref="D16" r:id="rId3" xr:uid="{0C546F4D-060D-4304-9075-EA8616D7ABE4}"/>
    <hyperlink ref="D64" r:id="rId4" xr:uid="{EE2C6C24-ADF4-4DDF-8BBA-37BFCA67BB24}"/>
    <hyperlink ref="D65" r:id="rId5" xr:uid="{20CDBA70-1EF1-4530-8190-17D322E7B274}"/>
    <hyperlink ref="D66" r:id="rId6" xr:uid="{FE360FA0-1679-495B-8580-3E11F8B7486A}"/>
    <hyperlink ref="D67" r:id="rId7" xr:uid="{929580E5-8201-48FA-9A9B-83A3A1EEA0D6}"/>
    <hyperlink ref="D68" r:id="rId8" xr:uid="{F64C3251-0FFC-4246-AA2D-390C2574E464}"/>
    <hyperlink ref="D2" r:id="rId9" xr:uid="{91F65C28-3007-49CB-80C5-C3C82BBEA1FB}"/>
    <hyperlink ref="D3" r:id="rId10" display="https://www.google.com/search?q=https://investors.boeing.com/investors/events-and-presentations/" xr:uid="{2A50B014-C07F-49B6-9168-F14844B57817}"/>
    <hyperlink ref="D4" r:id="rId11" xr:uid="{4A86D208-C7DD-482D-91D1-7DF97893F6B4}"/>
    <hyperlink ref="D5" r:id="rId12" xr:uid="{502EE7EF-C34C-4EFB-BA2B-5E0AD269E04C}"/>
    <hyperlink ref="D6" r:id="rId13" xr:uid="{3C18F5CF-FD61-4D20-9E0F-11C6464FF9C8}"/>
    <hyperlink ref="D18" r:id="rId14" xr:uid="{96C3118B-6D06-425E-A648-E7F49EED668B}"/>
    <hyperlink ref="D19" r:id="rId15" display="https://www.google.com/search?q=https://investors.lockheedmartin.com/events-and-presentations" xr:uid="{8195B2C7-B97E-468A-BD9A-BEF9C30A61E5}"/>
    <hyperlink ref="D20" r:id="rId16" xr:uid="{F9C84FAE-DE87-425B-AF91-FBBB3BC03F7F}"/>
    <hyperlink ref="D21" r:id="rId17" xr:uid="{52B15362-AC79-4AE3-9A89-991AC138DE90}"/>
    <hyperlink ref="D22" r:id="rId18" xr:uid="{72533D61-EE3E-4417-BF86-69D2836DA82F}"/>
    <hyperlink ref="D36" r:id="rId19" xr:uid="{9D86E8FE-9430-4390-B30D-0E0B73A0E127}"/>
    <hyperlink ref="D37" r:id="rId20" xr:uid="{6D8A03C7-1EDC-4343-ACFA-88513890CF2A}"/>
    <hyperlink ref="D38" r:id="rId21" display="https://www.google.com/search?q=https://x.com/RTX_Corp" xr:uid="{7CDC96DF-D40B-4AAE-9D92-69DF15992148}"/>
    <hyperlink ref="D39" r:id="rId22" xr:uid="{3E1F2C06-88D3-493D-849B-F2C2D15B69F3}"/>
    <hyperlink ref="D40" r:id="rId23" xr:uid="{DA9AC3E0-E1C6-4B80-A7EC-C161E3C5FC2F}"/>
    <hyperlink ref="D71" r:id="rId24" xr:uid="{2B95AE75-E5AB-425B-92B8-DCDEADBA386C}"/>
    <hyperlink ref="D72" r:id="rId25" display="https://www.google.com/search?q=https://investor.wdc.com/events-and-presentations" xr:uid="{37DCF44D-CE30-461D-8363-2D91B910376B}"/>
    <hyperlink ref="D73" r:id="rId26" display="https://www.google.com/search?q=https://x.com/westerndigital" xr:uid="{CE63E500-9930-4526-AD7C-702CB8274648}"/>
    <hyperlink ref="D74" r:id="rId27" xr:uid="{8DE2A5C8-03CA-4171-8883-2D5E28F020EC}"/>
    <hyperlink ref="D75" r:id="rId28" display="https://www.google.com/search?q=https://www.tradingview.com/chart/%3Fsymbol%3DWDC" xr:uid="{6892639B-3A8E-4121-987F-1BE95DA0BF15}"/>
    <hyperlink ref="D49" r:id="rId29" xr:uid="{749FEF81-2E25-48B4-861E-78B10B37D97F}"/>
    <hyperlink ref="D50" r:id="rId30" display="https://www.google.com/search?q=https://investors.seagate.com/events-and-presentations/" xr:uid="{C9763CAF-AD8E-4E1F-B0D6-34D1B9CC0B48}"/>
    <hyperlink ref="D51" r:id="rId31" xr:uid="{6D8A15BB-CE22-493E-A54C-ADE93B9E4135}"/>
    <hyperlink ref="D52" r:id="rId32" display="https://www.google.com/search?q=https://x.com/SeagateGaming" xr:uid="{E49B4408-B91A-4818-B117-E3C27CD8F61C}"/>
    <hyperlink ref="D53" r:id="rId33" display="https://www.google.com/search?q=https://www.tradingview.com/chart/%3Fsymbol%3DSTX" xr:uid="{4DD8D16A-C91D-4C99-89FF-797C82723A89}"/>
    <hyperlink ref="D55" r:id="rId34" xr:uid="{0A05B4EE-1B92-4EB8-8D5A-5D2C9D3D504F}"/>
    <hyperlink ref="D56" r:id="rId35" display="https://www.google.com/search?q=https://ir.tesla.com/%23quarterly-disclosure" xr:uid="{A9F04D92-6A70-4D7D-88C0-07A85F38E3B5}"/>
    <hyperlink ref="D57" r:id="rId36" xr:uid="{D96C3DFB-429A-4345-99DC-11791821715C}"/>
    <hyperlink ref="D58" r:id="rId37" xr:uid="{5711BF0A-3DD7-4F6A-A6E0-D18E43DB5DE1}"/>
    <hyperlink ref="D59" r:id="rId38" xr:uid="{00FED6C2-0C30-480F-B841-D5AC4A6EC060}"/>
    <hyperlink ref="D30" r:id="rId39" display="https://www.google.com/search?q=https://www.invesco.com/qqq-etf/en/qqqm.html" xr:uid="{0336ACD1-7345-47A3-83EE-80F610B36A84}"/>
    <hyperlink ref="D31" r:id="rId40" display="https://www.google.com/search?q=https://www.invesco.com/us/en/insights.html" xr:uid="{E6ED129A-1E2E-46F0-A03E-E58AECF0753B}"/>
    <hyperlink ref="D32" r:id="rId41" xr:uid="{67A9147E-4402-4E70-8B7A-BE5F63B78E1D}"/>
    <hyperlink ref="D33" r:id="rId42" display="https://www.google.com/search?q=https://x.com/QQQ" xr:uid="{72FC18E1-96BF-4FB5-9EF4-0353E5B73FA7}"/>
    <hyperlink ref="D34" r:id="rId43" display="https://www.google.com/search?q=https://www.tradingview.com/chart/%3Fsymbol%3DQQQM" xr:uid="{60187B8B-F367-4AB0-912A-AC7D5B761B9A}"/>
    <hyperlink ref="D24" r:id="rId44" display="https://www.google.com/search?q=https://ir.newmont.com/" xr:uid="{61CC54D5-DF38-4D9B-9AD0-40993A525DB5}"/>
    <hyperlink ref="D25" r:id="rId45" display="https://www.google.com/search?q=https://ir.newmont.com/events-and-presentations/" xr:uid="{0C2DC048-1F26-40E7-9199-6336F4852D0F}"/>
    <hyperlink ref="D26" r:id="rId46" xr:uid="{D074C27D-1DC9-4EBF-A225-BF351B9801C9}"/>
    <hyperlink ref="D27" r:id="rId47" xr:uid="{4FAD023C-40E0-4F29-8062-8004FDCB6BD8}"/>
    <hyperlink ref="D28" r:id="rId48" display="https://www.google.com/search?q=https://www.tradingview.com/chart/%3Fsymbol%3DNEM" xr:uid="{EBAD1299-3935-4E58-ADC0-7E068358C16D}"/>
    <hyperlink ref="D42" r:id="rId49" xr:uid="{21833B4B-64BD-4F7B-A673-2AA3C78B56C3}"/>
    <hyperlink ref="D43" r:id="rId50" xr:uid="{A8D0A477-9D26-440D-BCE0-C08CE0520195}"/>
    <hyperlink ref="D44" r:id="rId51" xr:uid="{9CA01250-6700-4983-B9A7-E23A92738359}"/>
    <hyperlink ref="D45" r:id="rId52" xr:uid="{E70C11CB-BA4C-473D-B068-2874A968AB02}"/>
    <hyperlink ref="D46" r:id="rId53" xr:uid="{0F58890E-2058-4E52-A84C-032664480142}"/>
  </hyperlinks>
  <pageMargins left="0.7" right="0.7" top="0.75" bottom="0.75" header="0.3" footer="0.3"/>
  <drawing r:id="rId5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8A3A2-002A-4200-92FB-343C8E7C6EB9}">
  <dimension ref="A1:V39"/>
  <sheetViews>
    <sheetView workbookViewId="0"/>
  </sheetViews>
  <sheetFormatPr defaultRowHeight="14.4" x14ac:dyDescent="0.3"/>
  <cols>
    <col min="1" max="1" width="35" bestFit="1" customWidth="1"/>
    <col min="2" max="3" width="18.21875" bestFit="1" customWidth="1"/>
    <col min="4" max="4" width="17.21875" bestFit="1" customWidth="1"/>
    <col min="5" max="5" width="19" bestFit="1" customWidth="1"/>
    <col min="6" max="7" width="18.21875" bestFit="1" customWidth="1"/>
    <col min="8" max="8" width="17.21875" bestFit="1" customWidth="1"/>
    <col min="9" max="9" width="19" bestFit="1" customWidth="1"/>
    <col min="10" max="11" width="18.21875" bestFit="1" customWidth="1"/>
    <col min="12" max="12" width="17.21875" bestFit="1" customWidth="1"/>
    <col min="13" max="13" width="19" bestFit="1" customWidth="1"/>
    <col min="14" max="15" width="18.21875" bestFit="1" customWidth="1"/>
    <col min="16" max="16" width="17.21875" bestFit="1" customWidth="1"/>
    <col min="17" max="17" width="19" bestFit="1" customWidth="1"/>
    <col min="18" max="19" width="18.21875" bestFit="1" customWidth="1"/>
    <col min="20" max="20" width="17.21875" bestFit="1" customWidth="1"/>
    <col min="21" max="21" width="19" bestFit="1" customWidth="1"/>
    <col min="22" max="22" width="12.44140625" bestFit="1" customWidth="1"/>
  </cols>
  <sheetData>
    <row r="1" spans="1:22" x14ac:dyDescent="0.3">
      <c r="A1" t="s">
        <v>165</v>
      </c>
      <c r="B1" t="s">
        <v>166</v>
      </c>
      <c r="C1" t="s">
        <v>167</v>
      </c>
      <c r="D1" t="s">
        <v>168</v>
      </c>
      <c r="E1" t="s">
        <v>169</v>
      </c>
      <c r="F1" t="s">
        <v>170</v>
      </c>
      <c r="G1" t="s">
        <v>171</v>
      </c>
      <c r="H1" t="s">
        <v>172</v>
      </c>
      <c r="I1" t="s">
        <v>173</v>
      </c>
      <c r="J1" t="s">
        <v>174</v>
      </c>
      <c r="K1" t="s">
        <v>175</v>
      </c>
      <c r="L1" t="s">
        <v>176</v>
      </c>
      <c r="M1" t="s">
        <v>177</v>
      </c>
      <c r="N1" t="s">
        <v>178</v>
      </c>
      <c r="O1" t="s">
        <v>179</v>
      </c>
      <c r="P1" t="s">
        <v>180</v>
      </c>
      <c r="Q1" t="s">
        <v>181</v>
      </c>
      <c r="R1" t="s">
        <v>182</v>
      </c>
      <c r="S1" t="s">
        <v>183</v>
      </c>
      <c r="T1" t="s">
        <v>184</v>
      </c>
      <c r="U1" t="s">
        <v>185</v>
      </c>
      <c r="V1" t="s">
        <v>186</v>
      </c>
    </row>
    <row r="2" spans="1:22" x14ac:dyDescent="0.3">
      <c r="A2" t="s">
        <v>187</v>
      </c>
      <c r="B2" t="s">
        <v>191</v>
      </c>
      <c r="C2" t="s">
        <v>192</v>
      </c>
      <c r="D2" t="s">
        <v>193</v>
      </c>
      <c r="E2" t="s">
        <v>194</v>
      </c>
      <c r="F2" t="s">
        <v>195</v>
      </c>
      <c r="G2" t="s">
        <v>196</v>
      </c>
      <c r="H2" t="s">
        <v>197</v>
      </c>
      <c r="I2" t="s">
        <v>198</v>
      </c>
      <c r="J2" t="s">
        <v>199</v>
      </c>
      <c r="K2" t="s">
        <v>200</v>
      </c>
      <c r="L2" t="s">
        <v>201</v>
      </c>
      <c r="M2" t="s">
        <v>202</v>
      </c>
      <c r="N2" t="s">
        <v>203</v>
      </c>
      <c r="O2" t="s">
        <v>204</v>
      </c>
      <c r="P2" t="s">
        <v>205</v>
      </c>
      <c r="Q2" t="s">
        <v>206</v>
      </c>
      <c r="R2" t="s">
        <v>207</v>
      </c>
      <c r="S2" t="s">
        <v>848</v>
      </c>
      <c r="T2" t="s">
        <v>849</v>
      </c>
      <c r="U2" t="s">
        <v>850</v>
      </c>
      <c r="V2" t="s">
        <v>852</v>
      </c>
    </row>
    <row r="3" spans="1:22" x14ac:dyDescent="0.3">
      <c r="A3" t="s">
        <v>209</v>
      </c>
      <c r="B3" t="s">
        <v>3325</v>
      </c>
      <c r="C3" t="s">
        <v>853</v>
      </c>
      <c r="D3" t="s">
        <v>854</v>
      </c>
      <c r="E3" t="s">
        <v>855</v>
      </c>
      <c r="F3" t="s">
        <v>856</v>
      </c>
      <c r="G3" t="s">
        <v>857</v>
      </c>
      <c r="H3" t="s">
        <v>858</v>
      </c>
      <c r="I3" t="s">
        <v>859</v>
      </c>
      <c r="J3" t="s">
        <v>860</v>
      </c>
      <c r="K3" t="s">
        <v>861</v>
      </c>
      <c r="L3" t="s">
        <v>862</v>
      </c>
      <c r="M3" t="s">
        <v>863</v>
      </c>
      <c r="N3" t="s">
        <v>864</v>
      </c>
      <c r="O3" t="s">
        <v>865</v>
      </c>
      <c r="P3" t="s">
        <v>866</v>
      </c>
      <c r="Q3" t="s">
        <v>867</v>
      </c>
      <c r="R3" t="s">
        <v>868</v>
      </c>
      <c r="S3" t="s">
        <v>869</v>
      </c>
      <c r="T3" t="s">
        <v>870</v>
      </c>
      <c r="U3" t="s">
        <v>871</v>
      </c>
      <c r="V3" t="s">
        <v>852</v>
      </c>
    </row>
    <row r="4" spans="1:22" x14ac:dyDescent="0.3">
      <c r="A4" t="s">
        <v>873</v>
      </c>
      <c r="B4" t="s">
        <v>3358</v>
      </c>
      <c r="C4" t="s">
        <v>1550</v>
      </c>
      <c r="D4" t="s">
        <v>1551</v>
      </c>
      <c r="E4" t="s">
        <v>1552</v>
      </c>
      <c r="F4" t="s">
        <v>1553</v>
      </c>
      <c r="G4" t="s">
        <v>1554</v>
      </c>
      <c r="H4" t="s">
        <v>1555</v>
      </c>
      <c r="I4" t="s">
        <v>1556</v>
      </c>
      <c r="J4" t="s">
        <v>1557</v>
      </c>
      <c r="K4" t="s">
        <v>1558</v>
      </c>
      <c r="L4" t="s">
        <v>1559</v>
      </c>
      <c r="M4" t="s">
        <v>1560</v>
      </c>
      <c r="N4" t="s">
        <v>1561</v>
      </c>
      <c r="O4" t="s">
        <v>1562</v>
      </c>
      <c r="P4" t="s">
        <v>1563</v>
      </c>
      <c r="Q4" t="s">
        <v>1564</v>
      </c>
      <c r="R4" t="s">
        <v>1565</v>
      </c>
      <c r="S4" t="s">
        <v>1566</v>
      </c>
      <c r="T4" t="s">
        <v>1567</v>
      </c>
      <c r="U4" t="s">
        <v>1568</v>
      </c>
      <c r="V4" t="s">
        <v>251</v>
      </c>
    </row>
    <row r="5" spans="1:22" x14ac:dyDescent="0.3">
      <c r="A5" t="s">
        <v>1569</v>
      </c>
      <c r="B5" t="s">
        <v>3358</v>
      </c>
      <c r="C5" t="s">
        <v>1550</v>
      </c>
      <c r="D5" t="s">
        <v>1551</v>
      </c>
      <c r="E5" t="s">
        <v>1552</v>
      </c>
      <c r="F5" t="s">
        <v>1553</v>
      </c>
      <c r="G5" t="s">
        <v>1554</v>
      </c>
      <c r="H5" t="s">
        <v>1555</v>
      </c>
      <c r="I5" t="s">
        <v>1556</v>
      </c>
      <c r="J5" t="s">
        <v>1557</v>
      </c>
      <c r="K5" t="s">
        <v>1558</v>
      </c>
      <c r="L5" t="s">
        <v>1559</v>
      </c>
      <c r="M5" t="s">
        <v>1560</v>
      </c>
      <c r="N5" t="s">
        <v>1561</v>
      </c>
      <c r="O5" t="s">
        <v>1562</v>
      </c>
      <c r="P5" t="s">
        <v>1563</v>
      </c>
      <c r="Q5" t="s">
        <v>1564</v>
      </c>
      <c r="R5" t="s">
        <v>1565</v>
      </c>
      <c r="S5" t="s">
        <v>1566</v>
      </c>
      <c r="T5" t="s">
        <v>1567</v>
      </c>
      <c r="U5" t="s">
        <v>1568</v>
      </c>
      <c r="V5" t="s">
        <v>251</v>
      </c>
    </row>
    <row r="6" spans="1:22" x14ac:dyDescent="0.3">
      <c r="A6" t="s">
        <v>893</v>
      </c>
      <c r="B6" t="s">
        <v>3359</v>
      </c>
      <c r="C6" t="s">
        <v>1570</v>
      </c>
      <c r="D6" t="s">
        <v>1571</v>
      </c>
      <c r="E6" t="s">
        <v>1572</v>
      </c>
      <c r="F6" t="s">
        <v>1573</v>
      </c>
      <c r="G6" t="s">
        <v>1574</v>
      </c>
      <c r="H6" t="s">
        <v>1575</v>
      </c>
      <c r="I6" t="s">
        <v>1576</v>
      </c>
      <c r="J6" t="s">
        <v>1577</v>
      </c>
      <c r="K6" t="s">
        <v>1578</v>
      </c>
      <c r="L6" t="s">
        <v>1579</v>
      </c>
      <c r="M6" t="s">
        <v>1580</v>
      </c>
      <c r="N6" t="s">
        <v>1581</v>
      </c>
      <c r="O6" t="s">
        <v>1582</v>
      </c>
      <c r="P6" t="s">
        <v>1583</v>
      </c>
      <c r="Q6" t="s">
        <v>1584</v>
      </c>
      <c r="R6" t="s">
        <v>1585</v>
      </c>
      <c r="S6" t="s">
        <v>1586</v>
      </c>
      <c r="T6" t="s">
        <v>1587</v>
      </c>
      <c r="U6" t="s">
        <v>1588</v>
      </c>
      <c r="V6" t="s">
        <v>251</v>
      </c>
    </row>
    <row r="7" spans="1:22" x14ac:dyDescent="0.3">
      <c r="A7" t="s">
        <v>1589</v>
      </c>
      <c r="B7" t="s">
        <v>3359</v>
      </c>
      <c r="C7" t="s">
        <v>1570</v>
      </c>
      <c r="D7" t="s">
        <v>1571</v>
      </c>
      <c r="E7" t="s">
        <v>1572</v>
      </c>
      <c r="F7" t="s">
        <v>1573</v>
      </c>
      <c r="G7" t="s">
        <v>1574</v>
      </c>
      <c r="H7" t="s">
        <v>1575</v>
      </c>
      <c r="I7" t="s">
        <v>1576</v>
      </c>
      <c r="J7" t="s">
        <v>1577</v>
      </c>
      <c r="K7" t="s">
        <v>1578</v>
      </c>
      <c r="L7" t="s">
        <v>1579</v>
      </c>
      <c r="M7" t="s">
        <v>1580</v>
      </c>
      <c r="N7" t="s">
        <v>1581</v>
      </c>
      <c r="O7" t="s">
        <v>1582</v>
      </c>
      <c r="P7" t="s">
        <v>1583</v>
      </c>
      <c r="Q7" t="s">
        <v>1584</v>
      </c>
      <c r="R7" t="s">
        <v>1585</v>
      </c>
      <c r="S7" t="s">
        <v>1586</v>
      </c>
      <c r="T7" t="s">
        <v>1587</v>
      </c>
      <c r="U7" t="s">
        <v>1588</v>
      </c>
      <c r="V7" t="s">
        <v>251</v>
      </c>
    </row>
    <row r="8" spans="1:22" x14ac:dyDescent="0.3">
      <c r="A8" t="s">
        <v>913</v>
      </c>
      <c r="B8" t="s">
        <v>3360</v>
      </c>
      <c r="C8" t="s">
        <v>1590</v>
      </c>
      <c r="D8" t="s">
        <v>1591</v>
      </c>
      <c r="E8" t="s">
        <v>1592</v>
      </c>
      <c r="F8" t="s">
        <v>1593</v>
      </c>
      <c r="G8" t="s">
        <v>1594</v>
      </c>
      <c r="H8" t="s">
        <v>1595</v>
      </c>
      <c r="I8" t="s">
        <v>1596</v>
      </c>
      <c r="J8" t="s">
        <v>1597</v>
      </c>
      <c r="K8" t="s">
        <v>1598</v>
      </c>
      <c r="L8" t="s">
        <v>1599</v>
      </c>
      <c r="M8" t="s">
        <v>1600</v>
      </c>
      <c r="N8" t="s">
        <v>1601</v>
      </c>
      <c r="O8" t="s">
        <v>1602</v>
      </c>
      <c r="P8" t="s">
        <v>1603</v>
      </c>
      <c r="Q8" t="s">
        <v>1604</v>
      </c>
      <c r="R8" t="s">
        <v>1605</v>
      </c>
      <c r="S8" t="s">
        <v>1606</v>
      </c>
      <c r="T8" t="s">
        <v>1607</v>
      </c>
      <c r="U8" t="s">
        <v>1608</v>
      </c>
      <c r="V8" t="s">
        <v>251</v>
      </c>
    </row>
    <row r="9" spans="1:22" x14ac:dyDescent="0.3">
      <c r="A9" t="s">
        <v>933</v>
      </c>
      <c r="B9" t="s">
        <v>2088</v>
      </c>
      <c r="C9" t="s">
        <v>1609</v>
      </c>
      <c r="D9" t="s">
        <v>1610</v>
      </c>
      <c r="E9" t="s">
        <v>1611</v>
      </c>
      <c r="F9" t="s">
        <v>1612</v>
      </c>
      <c r="G9" t="s">
        <v>1613</v>
      </c>
      <c r="H9" t="s">
        <v>1614</v>
      </c>
      <c r="I9" t="s">
        <v>1615</v>
      </c>
      <c r="J9" t="s">
        <v>1616</v>
      </c>
      <c r="K9" t="s">
        <v>629</v>
      </c>
      <c r="L9" t="s">
        <v>1617</v>
      </c>
      <c r="M9" t="s">
        <v>1618</v>
      </c>
      <c r="N9" t="s">
        <v>1619</v>
      </c>
      <c r="O9" t="s">
        <v>1620</v>
      </c>
      <c r="P9" t="s">
        <v>1621</v>
      </c>
      <c r="Q9" t="s">
        <v>1622</v>
      </c>
      <c r="R9" t="s">
        <v>1623</v>
      </c>
      <c r="S9" t="s">
        <v>1624</v>
      </c>
      <c r="T9" t="s">
        <v>1625</v>
      </c>
      <c r="U9" t="s">
        <v>1626</v>
      </c>
      <c r="V9" t="s">
        <v>251</v>
      </c>
    </row>
    <row r="10" spans="1:22" x14ac:dyDescent="0.3">
      <c r="A10" t="s">
        <v>485</v>
      </c>
      <c r="B10" t="s">
        <v>436</v>
      </c>
      <c r="C10" t="s">
        <v>1627</v>
      </c>
      <c r="D10" t="s">
        <v>1628</v>
      </c>
      <c r="E10" t="s">
        <v>1629</v>
      </c>
      <c r="F10" t="s">
        <v>1630</v>
      </c>
      <c r="G10" t="s">
        <v>1631</v>
      </c>
      <c r="H10" t="s">
        <v>1632</v>
      </c>
      <c r="I10" t="s">
        <v>1633</v>
      </c>
      <c r="J10" t="s">
        <v>1634</v>
      </c>
      <c r="K10" t="s">
        <v>1635</v>
      </c>
      <c r="L10" t="s">
        <v>1636</v>
      </c>
      <c r="M10" t="s">
        <v>1637</v>
      </c>
      <c r="N10" t="s">
        <v>1638</v>
      </c>
      <c r="O10" t="s">
        <v>1639</v>
      </c>
      <c r="P10" t="s">
        <v>1640</v>
      </c>
      <c r="Q10" t="s">
        <v>1641</v>
      </c>
      <c r="R10" t="s">
        <v>1642</v>
      </c>
      <c r="S10" t="s">
        <v>1643</v>
      </c>
      <c r="T10" t="s">
        <v>1644</v>
      </c>
      <c r="U10" t="s">
        <v>1287</v>
      </c>
      <c r="V10" t="s">
        <v>251</v>
      </c>
    </row>
    <row r="11" spans="1:22" x14ac:dyDescent="0.3">
      <c r="A11" t="s">
        <v>1032</v>
      </c>
      <c r="B11" t="s">
        <v>3361</v>
      </c>
      <c r="C11" t="s">
        <v>1645</v>
      </c>
      <c r="D11" t="s">
        <v>1646</v>
      </c>
      <c r="E11" t="s">
        <v>1647</v>
      </c>
      <c r="F11" t="s">
        <v>1648</v>
      </c>
      <c r="G11" t="s">
        <v>1649</v>
      </c>
      <c r="H11" t="s">
        <v>1650</v>
      </c>
      <c r="I11" t="s">
        <v>1651</v>
      </c>
      <c r="J11" t="s">
        <v>1652</v>
      </c>
      <c r="K11" t="s">
        <v>1653</v>
      </c>
      <c r="L11" t="s">
        <v>1654</v>
      </c>
      <c r="M11" t="s">
        <v>1655</v>
      </c>
      <c r="N11" t="s">
        <v>1656</v>
      </c>
      <c r="O11" t="s">
        <v>1657</v>
      </c>
      <c r="P11" t="s">
        <v>1658</v>
      </c>
      <c r="Q11" t="s">
        <v>1659</v>
      </c>
      <c r="R11" t="s">
        <v>1660</v>
      </c>
      <c r="S11" t="s">
        <v>1661</v>
      </c>
      <c r="T11" t="s">
        <v>1662</v>
      </c>
      <c r="U11" t="s">
        <v>1663</v>
      </c>
      <c r="V11" t="s">
        <v>251</v>
      </c>
    </row>
    <row r="12" spans="1:22" x14ac:dyDescent="0.3">
      <c r="A12" t="s">
        <v>1052</v>
      </c>
      <c r="B12" t="s">
        <v>3361</v>
      </c>
      <c r="C12" t="s">
        <v>1664</v>
      </c>
      <c r="D12" t="s">
        <v>1665</v>
      </c>
      <c r="E12" t="s">
        <v>1666</v>
      </c>
      <c r="F12" t="s">
        <v>1667</v>
      </c>
      <c r="G12" t="s">
        <v>1668</v>
      </c>
      <c r="H12" t="s">
        <v>1669</v>
      </c>
      <c r="I12" t="s">
        <v>1670</v>
      </c>
      <c r="J12" t="s">
        <v>1671</v>
      </c>
      <c r="K12" t="s">
        <v>1672</v>
      </c>
      <c r="L12" t="s">
        <v>1673</v>
      </c>
      <c r="M12" t="s">
        <v>1674</v>
      </c>
      <c r="N12" t="s">
        <v>1675</v>
      </c>
      <c r="O12" t="s">
        <v>1676</v>
      </c>
      <c r="P12" t="s">
        <v>1677</v>
      </c>
      <c r="Q12" t="s">
        <v>1678</v>
      </c>
      <c r="R12" t="s">
        <v>1679</v>
      </c>
      <c r="S12" t="s">
        <v>1680</v>
      </c>
      <c r="T12" t="s">
        <v>1681</v>
      </c>
      <c r="U12" t="s">
        <v>1682</v>
      </c>
      <c r="V12" t="s">
        <v>251</v>
      </c>
    </row>
    <row r="13" spans="1:22" x14ac:dyDescent="0.3">
      <c r="A13" t="s">
        <v>1072</v>
      </c>
      <c r="B13" t="s">
        <v>3362</v>
      </c>
      <c r="C13" t="s">
        <v>1683</v>
      </c>
      <c r="D13" t="s">
        <v>1684</v>
      </c>
      <c r="E13" t="s">
        <v>1685</v>
      </c>
      <c r="F13" t="s">
        <v>1686</v>
      </c>
      <c r="G13" t="s">
        <v>1687</v>
      </c>
      <c r="H13" t="s">
        <v>1688</v>
      </c>
      <c r="I13" t="s">
        <v>1689</v>
      </c>
      <c r="J13" t="s">
        <v>1690</v>
      </c>
      <c r="K13" t="s">
        <v>1691</v>
      </c>
      <c r="L13" t="s">
        <v>1692</v>
      </c>
      <c r="M13" t="s">
        <v>1693</v>
      </c>
      <c r="N13" t="s">
        <v>1694</v>
      </c>
      <c r="O13" t="s">
        <v>1695</v>
      </c>
      <c r="P13" t="s">
        <v>1696</v>
      </c>
      <c r="Q13" t="s">
        <v>1697</v>
      </c>
      <c r="R13" t="s">
        <v>1698</v>
      </c>
      <c r="S13" t="s">
        <v>1699</v>
      </c>
      <c r="T13" t="s">
        <v>1700</v>
      </c>
      <c r="U13" t="s">
        <v>1701</v>
      </c>
      <c r="V13" t="s">
        <v>251</v>
      </c>
    </row>
    <row r="14" spans="1:22" x14ac:dyDescent="0.3">
      <c r="A14" t="s">
        <v>1093</v>
      </c>
      <c r="B14" t="s">
        <v>3363</v>
      </c>
      <c r="C14" t="s">
        <v>1702</v>
      </c>
      <c r="D14" t="s">
        <v>1703</v>
      </c>
      <c r="E14" t="s">
        <v>1704</v>
      </c>
      <c r="F14" t="s">
        <v>1705</v>
      </c>
      <c r="G14" t="s">
        <v>1706</v>
      </c>
      <c r="H14" t="s">
        <v>1707</v>
      </c>
      <c r="I14" t="s">
        <v>1708</v>
      </c>
      <c r="J14" t="s">
        <v>1709</v>
      </c>
      <c r="K14" t="s">
        <v>1710</v>
      </c>
      <c r="L14" t="s">
        <v>1711</v>
      </c>
      <c r="M14" t="s">
        <v>1712</v>
      </c>
      <c r="N14" t="s">
        <v>1713</v>
      </c>
      <c r="O14" t="s">
        <v>1714</v>
      </c>
      <c r="P14" t="s">
        <v>1715</v>
      </c>
      <c r="Q14" t="s">
        <v>1716</v>
      </c>
      <c r="R14" t="s">
        <v>1717</v>
      </c>
      <c r="S14" t="s">
        <v>1718</v>
      </c>
      <c r="T14" t="s">
        <v>1719</v>
      </c>
      <c r="U14" t="s">
        <v>1720</v>
      </c>
      <c r="V14" t="s">
        <v>251</v>
      </c>
    </row>
    <row r="15" spans="1:22" x14ac:dyDescent="0.3">
      <c r="A15" t="s">
        <v>1113</v>
      </c>
      <c r="B15" t="s">
        <v>3364</v>
      </c>
      <c r="C15" t="s">
        <v>1721</v>
      </c>
      <c r="D15" t="s">
        <v>1722</v>
      </c>
      <c r="E15" t="s">
        <v>1723</v>
      </c>
      <c r="F15" t="s">
        <v>1724</v>
      </c>
      <c r="G15" t="s">
        <v>1725</v>
      </c>
      <c r="H15" t="s">
        <v>1229</v>
      </c>
      <c r="I15" t="s">
        <v>1726</v>
      </c>
      <c r="J15" t="s">
        <v>1727</v>
      </c>
      <c r="K15" t="s">
        <v>231</v>
      </c>
      <c r="L15" t="s">
        <v>1728</v>
      </c>
      <c r="M15" t="s">
        <v>1729</v>
      </c>
      <c r="N15" t="s">
        <v>1730</v>
      </c>
      <c r="O15" t="s">
        <v>1731</v>
      </c>
      <c r="P15" t="s">
        <v>1732</v>
      </c>
      <c r="Q15" t="s">
        <v>1733</v>
      </c>
      <c r="R15" t="s">
        <v>1734</v>
      </c>
      <c r="S15" t="s">
        <v>1735</v>
      </c>
      <c r="T15" t="s">
        <v>1736</v>
      </c>
      <c r="U15" t="s">
        <v>1737</v>
      </c>
      <c r="V15" t="s">
        <v>251</v>
      </c>
    </row>
    <row r="16" spans="1:22" x14ac:dyDescent="0.3">
      <c r="A16" t="s">
        <v>230</v>
      </c>
      <c r="B16" t="s">
        <v>3365</v>
      </c>
      <c r="C16" t="s">
        <v>1738</v>
      </c>
      <c r="D16" t="s">
        <v>1739</v>
      </c>
      <c r="E16" t="s">
        <v>1740</v>
      </c>
      <c r="F16" t="s">
        <v>1741</v>
      </c>
      <c r="G16" t="s">
        <v>1742</v>
      </c>
      <c r="H16" t="s">
        <v>1743</v>
      </c>
      <c r="I16" t="s">
        <v>1744</v>
      </c>
      <c r="J16" t="s">
        <v>1745</v>
      </c>
      <c r="K16" t="s">
        <v>1746</v>
      </c>
      <c r="L16" t="s">
        <v>1747</v>
      </c>
      <c r="M16" t="s">
        <v>1748</v>
      </c>
      <c r="N16" t="s">
        <v>1749</v>
      </c>
      <c r="O16" t="s">
        <v>1750</v>
      </c>
      <c r="P16" t="s">
        <v>1751</v>
      </c>
      <c r="Q16" t="s">
        <v>1752</v>
      </c>
      <c r="R16" t="s">
        <v>1753</v>
      </c>
      <c r="S16" t="s">
        <v>1754</v>
      </c>
      <c r="T16" t="s">
        <v>1755</v>
      </c>
      <c r="U16" t="s">
        <v>1756</v>
      </c>
      <c r="V16" t="s">
        <v>251</v>
      </c>
    </row>
    <row r="17" spans="1:22" x14ac:dyDescent="0.3">
      <c r="A17" t="s">
        <v>252</v>
      </c>
      <c r="B17" t="s">
        <v>3366</v>
      </c>
      <c r="C17" t="s">
        <v>1757</v>
      </c>
      <c r="D17" t="s">
        <v>1758</v>
      </c>
      <c r="E17" t="s">
        <v>1759</v>
      </c>
      <c r="F17" t="s">
        <v>1760</v>
      </c>
      <c r="G17" t="s">
        <v>613</v>
      </c>
      <c r="H17" t="s">
        <v>1761</v>
      </c>
      <c r="I17" t="s">
        <v>1762</v>
      </c>
      <c r="J17" t="s">
        <v>1763</v>
      </c>
      <c r="K17" t="s">
        <v>1764</v>
      </c>
      <c r="L17" t="s">
        <v>1765</v>
      </c>
      <c r="M17" t="s">
        <v>1766</v>
      </c>
      <c r="N17" t="s">
        <v>1767</v>
      </c>
      <c r="O17" t="s">
        <v>1501</v>
      </c>
      <c r="P17" t="s">
        <v>1768</v>
      </c>
      <c r="Q17" t="s">
        <v>1769</v>
      </c>
      <c r="R17" t="s">
        <v>1770</v>
      </c>
      <c r="S17" t="s">
        <v>1771</v>
      </c>
      <c r="T17" t="s">
        <v>1772</v>
      </c>
      <c r="U17" t="s">
        <v>1773</v>
      </c>
      <c r="V17" t="s">
        <v>251</v>
      </c>
    </row>
    <row r="18" spans="1:22" x14ac:dyDescent="0.3">
      <c r="A18" t="s">
        <v>1171</v>
      </c>
      <c r="B18" t="s">
        <v>3367</v>
      </c>
      <c r="C18" t="s">
        <v>1774</v>
      </c>
      <c r="D18" t="s">
        <v>1775</v>
      </c>
      <c r="E18" t="s">
        <v>1776</v>
      </c>
      <c r="F18" t="s">
        <v>1777</v>
      </c>
      <c r="G18" t="s">
        <v>1778</v>
      </c>
      <c r="H18" t="s">
        <v>1779</v>
      </c>
      <c r="I18" t="s">
        <v>1780</v>
      </c>
      <c r="J18" t="s">
        <v>1781</v>
      </c>
      <c r="K18" t="s">
        <v>1782</v>
      </c>
      <c r="L18" t="s">
        <v>1783</v>
      </c>
      <c r="M18" t="s">
        <v>1784</v>
      </c>
      <c r="N18" t="s">
        <v>1785</v>
      </c>
      <c r="O18" t="s">
        <v>1786</v>
      </c>
      <c r="P18" t="s">
        <v>1787</v>
      </c>
      <c r="Q18" t="s">
        <v>1788</v>
      </c>
      <c r="R18" t="s">
        <v>1789</v>
      </c>
      <c r="S18" t="s">
        <v>1790</v>
      </c>
      <c r="T18" t="s">
        <v>1791</v>
      </c>
      <c r="U18" t="s">
        <v>1792</v>
      </c>
      <c r="V18" t="s">
        <v>251</v>
      </c>
    </row>
    <row r="19" spans="1:22" x14ac:dyDescent="0.3">
      <c r="A19" t="s">
        <v>1793</v>
      </c>
      <c r="B19" t="s">
        <v>1120</v>
      </c>
      <c r="C19" t="s">
        <v>1794</v>
      </c>
      <c r="D19" t="s">
        <v>1795</v>
      </c>
      <c r="E19" t="s">
        <v>1796</v>
      </c>
      <c r="F19" t="s">
        <v>1797</v>
      </c>
      <c r="G19" t="s">
        <v>1795</v>
      </c>
      <c r="H19" t="s">
        <v>1798</v>
      </c>
      <c r="I19" t="s">
        <v>1799</v>
      </c>
      <c r="J19" t="s">
        <v>1800</v>
      </c>
      <c r="K19" t="s">
        <v>1801</v>
      </c>
      <c r="L19" t="s">
        <v>1802</v>
      </c>
      <c r="M19" t="s">
        <v>1803</v>
      </c>
      <c r="N19" t="s">
        <v>1804</v>
      </c>
      <c r="O19" t="s">
        <v>1805</v>
      </c>
      <c r="P19" t="s">
        <v>1806</v>
      </c>
      <c r="Q19" t="s">
        <v>1807</v>
      </c>
      <c r="R19" t="s">
        <v>1808</v>
      </c>
      <c r="S19" t="s">
        <v>1809</v>
      </c>
      <c r="T19" t="s">
        <v>1810</v>
      </c>
      <c r="U19" t="s">
        <v>1811</v>
      </c>
      <c r="V19" t="s">
        <v>251</v>
      </c>
    </row>
    <row r="20" spans="1:22" x14ac:dyDescent="0.3">
      <c r="A20" t="s">
        <v>1191</v>
      </c>
      <c r="B20" t="s">
        <v>3368</v>
      </c>
      <c r="C20" t="s">
        <v>1444</v>
      </c>
      <c r="D20" t="s">
        <v>1812</v>
      </c>
      <c r="E20" t="s">
        <v>1813</v>
      </c>
      <c r="F20" t="s">
        <v>1814</v>
      </c>
      <c r="G20" t="s">
        <v>1815</v>
      </c>
      <c r="H20" t="s">
        <v>1816</v>
      </c>
      <c r="I20" t="s">
        <v>1817</v>
      </c>
      <c r="J20" t="s">
        <v>1818</v>
      </c>
      <c r="K20" t="s">
        <v>1819</v>
      </c>
      <c r="L20" t="s">
        <v>1820</v>
      </c>
      <c r="M20" t="s">
        <v>1821</v>
      </c>
      <c r="N20" t="s">
        <v>1822</v>
      </c>
      <c r="O20" t="s">
        <v>1823</v>
      </c>
      <c r="P20" t="s">
        <v>1824</v>
      </c>
      <c r="Q20" t="s">
        <v>1825</v>
      </c>
      <c r="R20" t="s">
        <v>1826</v>
      </c>
      <c r="S20" t="s">
        <v>1827</v>
      </c>
      <c r="T20" t="s">
        <v>1820</v>
      </c>
      <c r="U20" t="s">
        <v>1119</v>
      </c>
      <c r="V20" t="s">
        <v>251</v>
      </c>
    </row>
    <row r="21" spans="1:22" x14ac:dyDescent="0.3">
      <c r="A21" t="s">
        <v>1211</v>
      </c>
      <c r="B21" t="s">
        <v>3369</v>
      </c>
      <c r="C21" t="s">
        <v>1828</v>
      </c>
      <c r="D21" t="s">
        <v>1829</v>
      </c>
      <c r="E21" t="s">
        <v>1830</v>
      </c>
      <c r="F21" t="s">
        <v>1831</v>
      </c>
      <c r="G21" t="s">
        <v>1832</v>
      </c>
      <c r="H21" t="s">
        <v>1833</v>
      </c>
      <c r="I21" t="s">
        <v>1834</v>
      </c>
      <c r="J21" t="s">
        <v>1835</v>
      </c>
      <c r="K21" t="s">
        <v>1836</v>
      </c>
      <c r="L21" t="s">
        <v>1837</v>
      </c>
      <c r="M21" t="s">
        <v>1838</v>
      </c>
      <c r="N21" t="s">
        <v>1838</v>
      </c>
      <c r="O21" t="s">
        <v>1839</v>
      </c>
      <c r="P21" t="s">
        <v>1840</v>
      </c>
      <c r="Q21" t="s">
        <v>1841</v>
      </c>
      <c r="R21" t="s">
        <v>1842</v>
      </c>
      <c r="S21" t="s">
        <v>1843</v>
      </c>
      <c r="T21" t="s">
        <v>1844</v>
      </c>
      <c r="U21" t="s">
        <v>1845</v>
      </c>
      <c r="V21" t="s">
        <v>251</v>
      </c>
    </row>
    <row r="22" spans="1:22" x14ac:dyDescent="0.3">
      <c r="A22" t="s">
        <v>1230</v>
      </c>
      <c r="B22" t="s">
        <v>3370</v>
      </c>
      <c r="C22" t="s">
        <v>1846</v>
      </c>
      <c r="D22" t="s">
        <v>1847</v>
      </c>
      <c r="E22" t="s">
        <v>1848</v>
      </c>
      <c r="F22" t="s">
        <v>1849</v>
      </c>
      <c r="G22" t="s">
        <v>1850</v>
      </c>
      <c r="H22" t="s">
        <v>1851</v>
      </c>
      <c r="I22" t="s">
        <v>1254</v>
      </c>
      <c r="J22" t="s">
        <v>1852</v>
      </c>
      <c r="K22" t="s">
        <v>1853</v>
      </c>
      <c r="L22" t="s">
        <v>1854</v>
      </c>
      <c r="M22" t="s">
        <v>1855</v>
      </c>
      <c r="N22" t="s">
        <v>1856</v>
      </c>
      <c r="O22" t="s">
        <v>1857</v>
      </c>
      <c r="P22" t="s">
        <v>1858</v>
      </c>
      <c r="Q22" t="s">
        <v>1859</v>
      </c>
      <c r="R22" t="s">
        <v>1860</v>
      </c>
      <c r="S22" t="s">
        <v>1861</v>
      </c>
      <c r="T22" t="s">
        <v>1862</v>
      </c>
      <c r="U22" t="s">
        <v>1863</v>
      </c>
      <c r="V22" t="s">
        <v>251</v>
      </c>
    </row>
    <row r="23" spans="1:22" x14ac:dyDescent="0.3">
      <c r="A23" t="s">
        <v>460</v>
      </c>
      <c r="B23" t="s">
        <v>3371</v>
      </c>
      <c r="C23" t="s">
        <v>1864</v>
      </c>
      <c r="D23" t="s">
        <v>1865</v>
      </c>
      <c r="E23" t="s">
        <v>1866</v>
      </c>
      <c r="F23" t="s">
        <v>1867</v>
      </c>
      <c r="G23" t="s">
        <v>1868</v>
      </c>
      <c r="H23" t="s">
        <v>1869</v>
      </c>
      <c r="I23" t="s">
        <v>1870</v>
      </c>
      <c r="J23" t="s">
        <v>1871</v>
      </c>
      <c r="K23" t="s">
        <v>1872</v>
      </c>
      <c r="L23" t="s">
        <v>1873</v>
      </c>
      <c r="M23" t="s">
        <v>1874</v>
      </c>
      <c r="N23" t="s">
        <v>1875</v>
      </c>
      <c r="O23" t="s">
        <v>1876</v>
      </c>
      <c r="P23" t="s">
        <v>1877</v>
      </c>
      <c r="Q23" t="s">
        <v>1878</v>
      </c>
      <c r="R23" t="s">
        <v>1879</v>
      </c>
      <c r="S23" t="s">
        <v>1880</v>
      </c>
      <c r="T23" t="s">
        <v>1881</v>
      </c>
      <c r="U23" t="s">
        <v>1882</v>
      </c>
      <c r="V23" t="s">
        <v>251</v>
      </c>
    </row>
    <row r="24" spans="1:22" x14ac:dyDescent="0.3">
      <c r="A24" t="s">
        <v>1288</v>
      </c>
      <c r="B24" t="s">
        <v>436</v>
      </c>
      <c r="C24" t="s">
        <v>436</v>
      </c>
      <c r="D24" t="s">
        <v>436</v>
      </c>
      <c r="E24" t="s">
        <v>436</v>
      </c>
      <c r="F24" t="s">
        <v>436</v>
      </c>
      <c r="G24" t="s">
        <v>436</v>
      </c>
      <c r="H24" t="s">
        <v>436</v>
      </c>
      <c r="I24" t="s">
        <v>436</v>
      </c>
      <c r="J24" t="s">
        <v>1883</v>
      </c>
      <c r="K24" t="s">
        <v>436</v>
      </c>
      <c r="L24" t="s">
        <v>436</v>
      </c>
      <c r="M24" t="s">
        <v>436</v>
      </c>
      <c r="N24" t="s">
        <v>436</v>
      </c>
      <c r="O24" t="s">
        <v>436</v>
      </c>
      <c r="P24" t="s">
        <v>436</v>
      </c>
      <c r="Q24" t="s">
        <v>436</v>
      </c>
      <c r="R24" t="s">
        <v>436</v>
      </c>
      <c r="S24" t="s">
        <v>436</v>
      </c>
      <c r="T24" t="s">
        <v>436</v>
      </c>
      <c r="U24" t="s">
        <v>436</v>
      </c>
      <c r="V24" t="s">
        <v>251</v>
      </c>
    </row>
    <row r="25" spans="1:22" x14ac:dyDescent="0.3">
      <c r="A25" t="s">
        <v>499</v>
      </c>
      <c r="B25" t="s">
        <v>3371</v>
      </c>
      <c r="C25" t="s">
        <v>1864</v>
      </c>
      <c r="D25" t="s">
        <v>1865</v>
      </c>
      <c r="E25" t="s">
        <v>1866</v>
      </c>
      <c r="F25" t="s">
        <v>1867</v>
      </c>
      <c r="G25" t="s">
        <v>1868</v>
      </c>
      <c r="H25" t="s">
        <v>1869</v>
      </c>
      <c r="I25" t="s">
        <v>1870</v>
      </c>
      <c r="J25" t="s">
        <v>1884</v>
      </c>
      <c r="K25" t="s">
        <v>1872</v>
      </c>
      <c r="L25" t="s">
        <v>1873</v>
      </c>
      <c r="M25" t="s">
        <v>1874</v>
      </c>
      <c r="N25" t="s">
        <v>1875</v>
      </c>
      <c r="O25" t="s">
        <v>1876</v>
      </c>
      <c r="P25" t="s">
        <v>1877</v>
      </c>
      <c r="Q25" t="s">
        <v>1878</v>
      </c>
      <c r="R25" t="s">
        <v>1879</v>
      </c>
      <c r="S25" t="s">
        <v>1880</v>
      </c>
      <c r="T25" t="s">
        <v>1881</v>
      </c>
      <c r="U25" t="s">
        <v>1882</v>
      </c>
      <c r="V25" t="s">
        <v>251</v>
      </c>
    </row>
    <row r="26" spans="1:22" x14ac:dyDescent="0.3">
      <c r="A26" t="s">
        <v>513</v>
      </c>
      <c r="B26" t="s">
        <v>3372</v>
      </c>
      <c r="C26" t="s">
        <v>1885</v>
      </c>
      <c r="D26" t="s">
        <v>1886</v>
      </c>
      <c r="E26" t="s">
        <v>1887</v>
      </c>
      <c r="F26" t="s">
        <v>1888</v>
      </c>
      <c r="G26" t="s">
        <v>1889</v>
      </c>
      <c r="H26" t="s">
        <v>1890</v>
      </c>
      <c r="I26" t="s">
        <v>1891</v>
      </c>
      <c r="J26" t="s">
        <v>1892</v>
      </c>
      <c r="K26" t="s">
        <v>1893</v>
      </c>
      <c r="L26" t="s">
        <v>1894</v>
      </c>
      <c r="M26" t="s">
        <v>1895</v>
      </c>
      <c r="N26" t="s">
        <v>1896</v>
      </c>
      <c r="O26" t="s">
        <v>1897</v>
      </c>
      <c r="P26" t="s">
        <v>1898</v>
      </c>
      <c r="Q26" t="s">
        <v>1899</v>
      </c>
      <c r="R26" t="s">
        <v>1900</v>
      </c>
      <c r="S26" t="s">
        <v>1901</v>
      </c>
      <c r="T26" t="s">
        <v>1902</v>
      </c>
      <c r="U26" t="s">
        <v>1903</v>
      </c>
      <c r="V26" t="s">
        <v>251</v>
      </c>
    </row>
    <row r="27" spans="1:22" x14ac:dyDescent="0.3">
      <c r="A27" t="s">
        <v>568</v>
      </c>
      <c r="B27" t="s">
        <v>3373</v>
      </c>
      <c r="C27" t="s">
        <v>1188</v>
      </c>
      <c r="D27" t="s">
        <v>1904</v>
      </c>
      <c r="E27" t="s">
        <v>1905</v>
      </c>
      <c r="F27" t="s">
        <v>1906</v>
      </c>
      <c r="G27" t="s">
        <v>1907</v>
      </c>
      <c r="H27" t="s">
        <v>1908</v>
      </c>
      <c r="I27" t="s">
        <v>1909</v>
      </c>
      <c r="J27" t="s">
        <v>1910</v>
      </c>
      <c r="K27" t="s">
        <v>1911</v>
      </c>
      <c r="L27" t="s">
        <v>1912</v>
      </c>
      <c r="M27" t="s">
        <v>1913</v>
      </c>
      <c r="N27" t="s">
        <v>1914</v>
      </c>
      <c r="O27" t="s">
        <v>1915</v>
      </c>
      <c r="P27" t="s">
        <v>1916</v>
      </c>
      <c r="Q27" t="s">
        <v>1917</v>
      </c>
      <c r="R27" t="s">
        <v>1918</v>
      </c>
      <c r="S27" t="s">
        <v>1919</v>
      </c>
      <c r="T27" t="s">
        <v>1920</v>
      </c>
      <c r="U27" t="s">
        <v>1921</v>
      </c>
      <c r="V27" t="s">
        <v>251</v>
      </c>
    </row>
    <row r="28" spans="1:22" x14ac:dyDescent="0.3">
      <c r="A28" t="s">
        <v>1352</v>
      </c>
      <c r="B28" t="s">
        <v>3374</v>
      </c>
      <c r="C28" t="s">
        <v>1362</v>
      </c>
      <c r="D28" t="s">
        <v>1922</v>
      </c>
      <c r="E28" t="s">
        <v>1923</v>
      </c>
      <c r="F28" t="s">
        <v>1924</v>
      </c>
      <c r="G28" t="s">
        <v>1925</v>
      </c>
      <c r="H28" t="s">
        <v>986</v>
      </c>
      <c r="I28" t="s">
        <v>1926</v>
      </c>
      <c r="J28" t="s">
        <v>1927</v>
      </c>
      <c r="K28" t="s">
        <v>1926</v>
      </c>
      <c r="L28" t="s">
        <v>1927</v>
      </c>
      <c r="M28" t="s">
        <v>1928</v>
      </c>
      <c r="N28" t="s">
        <v>606</v>
      </c>
      <c r="O28" t="s">
        <v>1929</v>
      </c>
      <c r="P28" t="s">
        <v>986</v>
      </c>
      <c r="Q28" t="s">
        <v>1930</v>
      </c>
      <c r="R28" t="s">
        <v>1931</v>
      </c>
      <c r="S28" t="s">
        <v>1357</v>
      </c>
      <c r="T28" t="s">
        <v>1932</v>
      </c>
      <c r="U28" t="s">
        <v>1933</v>
      </c>
      <c r="V28" t="s">
        <v>251</v>
      </c>
    </row>
    <row r="29" spans="1:22" x14ac:dyDescent="0.3">
      <c r="A29" t="s">
        <v>585</v>
      </c>
      <c r="B29" t="s">
        <v>3375</v>
      </c>
      <c r="C29" t="s">
        <v>1935</v>
      </c>
      <c r="D29" t="s">
        <v>1936</v>
      </c>
      <c r="E29" t="s">
        <v>1937</v>
      </c>
      <c r="F29" t="s">
        <v>1938</v>
      </c>
      <c r="G29" t="s">
        <v>1939</v>
      </c>
      <c r="H29" t="s">
        <v>1940</v>
      </c>
      <c r="I29" t="s">
        <v>1941</v>
      </c>
      <c r="J29" t="s">
        <v>1942</v>
      </c>
      <c r="K29" t="s">
        <v>1943</v>
      </c>
      <c r="L29" t="s">
        <v>1944</v>
      </c>
      <c r="M29" t="s">
        <v>1945</v>
      </c>
      <c r="N29" t="s">
        <v>1946</v>
      </c>
      <c r="O29" t="s">
        <v>1947</v>
      </c>
      <c r="P29" t="s">
        <v>1948</v>
      </c>
      <c r="Q29" t="s">
        <v>1949</v>
      </c>
      <c r="R29" t="s">
        <v>1950</v>
      </c>
      <c r="S29" t="s">
        <v>1951</v>
      </c>
      <c r="T29" t="s">
        <v>1952</v>
      </c>
      <c r="U29" t="s">
        <v>1869</v>
      </c>
      <c r="V29" t="s">
        <v>251</v>
      </c>
    </row>
    <row r="30" spans="1:22" x14ac:dyDescent="0.3">
      <c r="A30" t="s">
        <v>586</v>
      </c>
      <c r="B30" t="s">
        <v>3376</v>
      </c>
      <c r="C30" t="s">
        <v>1953</v>
      </c>
      <c r="D30" t="s">
        <v>1954</v>
      </c>
      <c r="E30" t="s">
        <v>1955</v>
      </c>
      <c r="F30" t="s">
        <v>1956</v>
      </c>
      <c r="G30" t="s">
        <v>1957</v>
      </c>
      <c r="H30" t="s">
        <v>1958</v>
      </c>
      <c r="I30" t="s">
        <v>1959</v>
      </c>
      <c r="J30" t="s">
        <v>1960</v>
      </c>
      <c r="K30" t="s">
        <v>1961</v>
      </c>
      <c r="L30" t="s">
        <v>1962</v>
      </c>
      <c r="M30" t="s">
        <v>1963</v>
      </c>
      <c r="N30" t="s">
        <v>1964</v>
      </c>
      <c r="O30" t="s">
        <v>1965</v>
      </c>
      <c r="P30" t="s">
        <v>1966</v>
      </c>
      <c r="Q30" t="s">
        <v>1967</v>
      </c>
      <c r="R30" t="s">
        <v>1968</v>
      </c>
      <c r="S30" t="s">
        <v>1969</v>
      </c>
      <c r="T30" t="s">
        <v>1970</v>
      </c>
      <c r="U30" t="s">
        <v>1971</v>
      </c>
      <c r="V30" t="s">
        <v>251</v>
      </c>
    </row>
    <row r="31" spans="1:22" x14ac:dyDescent="0.3">
      <c r="A31" t="s">
        <v>1409</v>
      </c>
      <c r="B31" t="s">
        <v>3377</v>
      </c>
      <c r="C31" t="s">
        <v>1972</v>
      </c>
      <c r="D31" t="s">
        <v>1973</v>
      </c>
      <c r="E31" t="s">
        <v>1974</v>
      </c>
      <c r="F31" t="s">
        <v>1975</v>
      </c>
      <c r="G31" t="s">
        <v>1879</v>
      </c>
      <c r="H31" t="s">
        <v>1976</v>
      </c>
      <c r="I31" t="s">
        <v>1977</v>
      </c>
      <c r="J31" t="s">
        <v>1978</v>
      </c>
      <c r="K31" t="s">
        <v>1979</v>
      </c>
      <c r="L31" t="s">
        <v>1980</v>
      </c>
      <c r="M31" t="s">
        <v>1981</v>
      </c>
      <c r="N31" t="s">
        <v>1982</v>
      </c>
      <c r="O31" t="s">
        <v>1983</v>
      </c>
      <c r="P31" t="s">
        <v>1984</v>
      </c>
      <c r="Q31" t="s">
        <v>1985</v>
      </c>
      <c r="R31" t="s">
        <v>1986</v>
      </c>
      <c r="S31" t="s">
        <v>1987</v>
      </c>
      <c r="T31" t="s">
        <v>1988</v>
      </c>
      <c r="U31" t="s">
        <v>1989</v>
      </c>
      <c r="V31" t="s">
        <v>251</v>
      </c>
    </row>
    <row r="32" spans="1:22" x14ac:dyDescent="0.3">
      <c r="A32" t="s">
        <v>1427</v>
      </c>
      <c r="B32" t="s">
        <v>3378</v>
      </c>
      <c r="C32" t="s">
        <v>1990</v>
      </c>
      <c r="D32" t="s">
        <v>1991</v>
      </c>
      <c r="E32" t="s">
        <v>1992</v>
      </c>
      <c r="F32" t="s">
        <v>1993</v>
      </c>
      <c r="G32" t="s">
        <v>1994</v>
      </c>
      <c r="H32" t="s">
        <v>1995</v>
      </c>
      <c r="I32" t="s">
        <v>1996</v>
      </c>
      <c r="J32" t="s">
        <v>1997</v>
      </c>
      <c r="K32" t="s">
        <v>1998</v>
      </c>
      <c r="L32" t="s">
        <v>1999</v>
      </c>
      <c r="M32" t="s">
        <v>2000</v>
      </c>
      <c r="N32" t="s">
        <v>2001</v>
      </c>
      <c r="O32" t="s">
        <v>1913</v>
      </c>
      <c r="P32" t="s">
        <v>2002</v>
      </c>
      <c r="Q32" t="s">
        <v>2003</v>
      </c>
      <c r="R32" t="s">
        <v>2004</v>
      </c>
      <c r="S32" t="s">
        <v>2005</v>
      </c>
      <c r="T32" t="s">
        <v>2006</v>
      </c>
      <c r="U32" t="s">
        <v>2007</v>
      </c>
      <c r="V32" t="s">
        <v>251</v>
      </c>
    </row>
    <row r="33" spans="1:22" x14ac:dyDescent="0.3">
      <c r="A33" t="s">
        <v>611</v>
      </c>
      <c r="B33" t="s">
        <v>3379</v>
      </c>
      <c r="C33" t="s">
        <v>2008</v>
      </c>
      <c r="D33" t="s">
        <v>2009</v>
      </c>
      <c r="E33" t="s">
        <v>2010</v>
      </c>
      <c r="F33" t="s">
        <v>2011</v>
      </c>
      <c r="G33" t="s">
        <v>2012</v>
      </c>
      <c r="H33" t="s">
        <v>2013</v>
      </c>
      <c r="I33" t="s">
        <v>2014</v>
      </c>
      <c r="J33" t="s">
        <v>2015</v>
      </c>
      <c r="K33" t="s">
        <v>2016</v>
      </c>
      <c r="L33" t="s">
        <v>2017</v>
      </c>
      <c r="M33" t="s">
        <v>2018</v>
      </c>
      <c r="N33" t="s">
        <v>2019</v>
      </c>
      <c r="O33" t="s">
        <v>2020</v>
      </c>
      <c r="P33" t="s">
        <v>2021</v>
      </c>
      <c r="Q33" t="s">
        <v>2022</v>
      </c>
      <c r="R33" t="s">
        <v>2023</v>
      </c>
      <c r="S33" t="s">
        <v>2024</v>
      </c>
      <c r="T33" t="s">
        <v>2025</v>
      </c>
      <c r="U33" t="s">
        <v>2026</v>
      </c>
      <c r="V33" t="s">
        <v>251</v>
      </c>
    </row>
    <row r="34" spans="1:22" x14ac:dyDescent="0.3">
      <c r="A34" t="s">
        <v>632</v>
      </c>
      <c r="B34" t="s">
        <v>686</v>
      </c>
      <c r="C34" t="s">
        <v>2027</v>
      </c>
      <c r="D34" t="s">
        <v>2028</v>
      </c>
      <c r="E34" t="s">
        <v>2029</v>
      </c>
      <c r="F34" t="s">
        <v>2030</v>
      </c>
      <c r="G34" t="s">
        <v>2031</v>
      </c>
      <c r="H34" t="s">
        <v>2030</v>
      </c>
      <c r="I34" t="s">
        <v>2032</v>
      </c>
      <c r="J34" t="s">
        <v>2033</v>
      </c>
      <c r="K34" t="s">
        <v>2029</v>
      </c>
      <c r="L34" t="s">
        <v>2034</v>
      </c>
      <c r="M34" t="s">
        <v>2035</v>
      </c>
      <c r="N34" t="s">
        <v>2036</v>
      </c>
      <c r="O34" t="s">
        <v>2037</v>
      </c>
      <c r="P34" t="s">
        <v>2038</v>
      </c>
      <c r="Q34" t="s">
        <v>2037</v>
      </c>
      <c r="R34" t="s">
        <v>2031</v>
      </c>
      <c r="S34" t="s">
        <v>2039</v>
      </c>
      <c r="T34" t="s">
        <v>2040</v>
      </c>
      <c r="U34" t="s">
        <v>2041</v>
      </c>
      <c r="V34" t="s">
        <v>251</v>
      </c>
    </row>
    <row r="35" spans="1:22" x14ac:dyDescent="0.3">
      <c r="A35" t="s">
        <v>650</v>
      </c>
      <c r="B35" t="s">
        <v>3083</v>
      </c>
      <c r="C35" t="s">
        <v>2043</v>
      </c>
      <c r="D35" t="s">
        <v>2044</v>
      </c>
      <c r="E35" t="s">
        <v>2028</v>
      </c>
      <c r="F35" t="s">
        <v>2037</v>
      </c>
      <c r="G35" t="s">
        <v>2037</v>
      </c>
      <c r="H35" t="s">
        <v>2030</v>
      </c>
      <c r="I35" t="s">
        <v>2045</v>
      </c>
      <c r="J35" t="s">
        <v>2046</v>
      </c>
      <c r="K35" t="s">
        <v>2028</v>
      </c>
      <c r="L35" t="s">
        <v>2034</v>
      </c>
      <c r="M35" t="s">
        <v>2047</v>
      </c>
      <c r="N35" t="s">
        <v>2036</v>
      </c>
      <c r="O35" t="s">
        <v>2037</v>
      </c>
      <c r="P35" t="s">
        <v>2038</v>
      </c>
      <c r="Q35" t="s">
        <v>2048</v>
      </c>
      <c r="R35" t="s">
        <v>557</v>
      </c>
      <c r="S35" t="s">
        <v>2036</v>
      </c>
      <c r="T35" t="s">
        <v>684</v>
      </c>
      <c r="U35" t="s">
        <v>2039</v>
      </c>
      <c r="V35" t="s">
        <v>251</v>
      </c>
    </row>
    <row r="36" spans="1:22" x14ac:dyDescent="0.3">
      <c r="A36" t="s">
        <v>652</v>
      </c>
      <c r="B36" t="s">
        <v>3380</v>
      </c>
      <c r="C36" t="s">
        <v>2049</v>
      </c>
      <c r="D36" t="s">
        <v>2050</v>
      </c>
      <c r="E36" t="s">
        <v>2051</v>
      </c>
      <c r="F36" t="s">
        <v>2052</v>
      </c>
      <c r="G36" t="s">
        <v>2053</v>
      </c>
      <c r="H36" t="s">
        <v>2054</v>
      </c>
      <c r="I36" t="s">
        <v>2055</v>
      </c>
      <c r="J36" t="s">
        <v>2056</v>
      </c>
      <c r="K36" t="s">
        <v>1530</v>
      </c>
      <c r="L36" t="s">
        <v>2057</v>
      </c>
      <c r="M36" t="s">
        <v>2058</v>
      </c>
      <c r="N36" t="s">
        <v>2059</v>
      </c>
      <c r="O36" t="s">
        <v>2060</v>
      </c>
      <c r="P36" t="s">
        <v>2061</v>
      </c>
      <c r="Q36" t="s">
        <v>2062</v>
      </c>
      <c r="R36" t="s">
        <v>2063</v>
      </c>
      <c r="S36" t="s">
        <v>2064</v>
      </c>
      <c r="T36" t="s">
        <v>2065</v>
      </c>
      <c r="U36" t="s">
        <v>2066</v>
      </c>
      <c r="V36" t="s">
        <v>251</v>
      </c>
    </row>
    <row r="37" spans="1:22" x14ac:dyDescent="0.3">
      <c r="A37" t="s">
        <v>1516</v>
      </c>
      <c r="B37" t="s">
        <v>2067</v>
      </c>
      <c r="C37" t="s">
        <v>2067</v>
      </c>
      <c r="D37" t="s">
        <v>2068</v>
      </c>
      <c r="E37" t="s">
        <v>2068</v>
      </c>
      <c r="F37" t="s">
        <v>2068</v>
      </c>
      <c r="G37" t="s">
        <v>2068</v>
      </c>
      <c r="H37" t="s">
        <v>2069</v>
      </c>
      <c r="I37" t="s">
        <v>2069</v>
      </c>
      <c r="J37" t="s">
        <v>2069</v>
      </c>
      <c r="K37" t="s">
        <v>2069</v>
      </c>
      <c r="L37" t="s">
        <v>2070</v>
      </c>
      <c r="M37" t="s">
        <v>2070</v>
      </c>
      <c r="N37" t="s">
        <v>2070</v>
      </c>
      <c r="O37" t="s">
        <v>2070</v>
      </c>
      <c r="P37" t="s">
        <v>2071</v>
      </c>
      <c r="Q37" t="s">
        <v>2071</v>
      </c>
      <c r="R37" t="s">
        <v>2071</v>
      </c>
      <c r="S37" t="s">
        <v>2071</v>
      </c>
      <c r="T37" t="s">
        <v>2072</v>
      </c>
      <c r="U37" t="s">
        <v>2072</v>
      </c>
      <c r="V37" t="s">
        <v>251</v>
      </c>
    </row>
    <row r="38" spans="1:22" x14ac:dyDescent="0.3">
      <c r="A38" t="s">
        <v>1524</v>
      </c>
      <c r="B38" t="s">
        <v>2073</v>
      </c>
      <c r="C38" t="s">
        <v>2073</v>
      </c>
      <c r="D38" t="s">
        <v>2074</v>
      </c>
      <c r="E38" t="s">
        <v>2074</v>
      </c>
      <c r="F38" t="s">
        <v>2074</v>
      </c>
      <c r="G38" t="s">
        <v>2074</v>
      </c>
      <c r="H38" t="s">
        <v>2075</v>
      </c>
      <c r="I38" t="s">
        <v>2075</v>
      </c>
      <c r="J38" t="s">
        <v>2075</v>
      </c>
      <c r="K38" t="s">
        <v>2075</v>
      </c>
      <c r="L38" t="s">
        <v>2076</v>
      </c>
      <c r="M38" t="s">
        <v>2076</v>
      </c>
      <c r="N38" t="s">
        <v>2076</v>
      </c>
      <c r="O38" t="s">
        <v>2076</v>
      </c>
      <c r="P38" t="s">
        <v>2077</v>
      </c>
      <c r="Q38" t="s">
        <v>2077</v>
      </c>
      <c r="R38" t="s">
        <v>2077</v>
      </c>
      <c r="S38" t="s">
        <v>2077</v>
      </c>
      <c r="T38" t="s">
        <v>436</v>
      </c>
      <c r="U38" t="s">
        <v>436</v>
      </c>
      <c r="V38" t="s">
        <v>251</v>
      </c>
    </row>
    <row r="39" spans="1:22" x14ac:dyDescent="0.3">
      <c r="A39" t="s">
        <v>840</v>
      </c>
      <c r="B39" t="s">
        <v>3381</v>
      </c>
      <c r="C39" t="s">
        <v>2078</v>
      </c>
      <c r="D39" t="s">
        <v>2079</v>
      </c>
      <c r="E39" t="s">
        <v>2080</v>
      </c>
      <c r="F39" t="s">
        <v>2081</v>
      </c>
      <c r="G39" t="s">
        <v>2082</v>
      </c>
      <c r="H39" t="s">
        <v>2083</v>
      </c>
      <c r="I39" t="s">
        <v>2084</v>
      </c>
      <c r="J39" t="s">
        <v>436</v>
      </c>
      <c r="K39" t="s">
        <v>2085</v>
      </c>
      <c r="L39" t="s">
        <v>2086</v>
      </c>
      <c r="M39" t="s">
        <v>2087</v>
      </c>
      <c r="N39" t="s">
        <v>2088</v>
      </c>
      <c r="O39" t="s">
        <v>2089</v>
      </c>
      <c r="P39" t="s">
        <v>2090</v>
      </c>
      <c r="Q39" t="s">
        <v>2091</v>
      </c>
      <c r="R39" t="s">
        <v>2092</v>
      </c>
      <c r="S39" t="s">
        <v>2093</v>
      </c>
      <c r="T39" t="s">
        <v>436</v>
      </c>
      <c r="U39" t="s">
        <v>1081</v>
      </c>
      <c r="V39" t="s">
        <v>251</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B51FC-9C2C-4B6A-B168-97F9C26BD40E}">
  <dimension ref="A1:V43"/>
  <sheetViews>
    <sheetView workbookViewId="0"/>
  </sheetViews>
  <sheetFormatPr defaultRowHeight="14.4" x14ac:dyDescent="0.3"/>
  <cols>
    <col min="1" max="1" width="36.5546875" bestFit="1" customWidth="1"/>
    <col min="2" max="2" width="17.6640625" bestFit="1" customWidth="1"/>
    <col min="3" max="3" width="16.21875" bestFit="1" customWidth="1"/>
    <col min="4" max="4" width="17.77734375" bestFit="1" customWidth="1"/>
    <col min="5" max="5" width="17.21875" bestFit="1" customWidth="1"/>
    <col min="6" max="6" width="17.6640625" bestFit="1" customWidth="1"/>
    <col min="7" max="7" width="16.21875" bestFit="1" customWidth="1"/>
    <col min="8" max="8" width="17.77734375" bestFit="1" customWidth="1"/>
    <col min="9" max="9" width="17.21875" bestFit="1" customWidth="1"/>
    <col min="10" max="10" width="17.6640625" bestFit="1" customWidth="1"/>
    <col min="11" max="11" width="16.21875" bestFit="1" customWidth="1"/>
    <col min="12" max="12" width="17.77734375" bestFit="1" customWidth="1"/>
    <col min="13" max="13" width="17.21875" bestFit="1" customWidth="1"/>
    <col min="14" max="14" width="17.6640625" bestFit="1" customWidth="1"/>
    <col min="15" max="15" width="16.21875" bestFit="1" customWidth="1"/>
    <col min="16" max="16" width="18" bestFit="1" customWidth="1"/>
    <col min="17" max="17" width="17.21875" bestFit="1" customWidth="1"/>
    <col min="18" max="18" width="17.6640625" bestFit="1" customWidth="1"/>
    <col min="19" max="19" width="17.33203125" bestFit="1" customWidth="1"/>
    <col min="20" max="20" width="18" bestFit="1" customWidth="1"/>
    <col min="21" max="21" width="17.21875" bestFit="1" customWidth="1"/>
    <col min="22" max="22" width="11.77734375" bestFit="1" customWidth="1"/>
  </cols>
  <sheetData>
    <row r="1" spans="1:22" x14ac:dyDescent="0.3">
      <c r="A1" t="s">
        <v>165</v>
      </c>
      <c r="B1" t="s">
        <v>166</v>
      </c>
      <c r="C1" t="s">
        <v>167</v>
      </c>
      <c r="D1" t="s">
        <v>168</v>
      </c>
      <c r="E1" t="s">
        <v>169</v>
      </c>
      <c r="F1" t="s">
        <v>170</v>
      </c>
      <c r="G1" t="s">
        <v>171</v>
      </c>
      <c r="H1" t="s">
        <v>172</v>
      </c>
      <c r="I1" t="s">
        <v>173</v>
      </c>
      <c r="J1" t="s">
        <v>174</v>
      </c>
      <c r="K1" t="s">
        <v>175</v>
      </c>
      <c r="L1" t="s">
        <v>176</v>
      </c>
      <c r="M1" t="s">
        <v>177</v>
      </c>
      <c r="N1" t="s">
        <v>178</v>
      </c>
      <c r="O1" t="s">
        <v>179</v>
      </c>
      <c r="P1" t="s">
        <v>180</v>
      </c>
      <c r="Q1" t="s">
        <v>181</v>
      </c>
      <c r="R1" t="s">
        <v>182</v>
      </c>
      <c r="S1" t="s">
        <v>183</v>
      </c>
      <c r="T1" t="s">
        <v>184</v>
      </c>
      <c r="U1" t="s">
        <v>185</v>
      </c>
      <c r="V1" t="s">
        <v>186</v>
      </c>
    </row>
    <row r="2" spans="1:22" x14ac:dyDescent="0.3">
      <c r="A2" t="s">
        <v>187</v>
      </c>
      <c r="B2" t="s">
        <v>188</v>
      </c>
      <c r="C2" t="s">
        <v>189</v>
      </c>
      <c r="D2" t="s">
        <v>190</v>
      </c>
      <c r="E2" t="s">
        <v>191</v>
      </c>
      <c r="F2" t="s">
        <v>192</v>
      </c>
      <c r="G2" t="s">
        <v>193</v>
      </c>
      <c r="H2" t="s">
        <v>194</v>
      </c>
      <c r="I2" t="s">
        <v>195</v>
      </c>
      <c r="J2" t="s">
        <v>196</v>
      </c>
      <c r="K2" t="s">
        <v>197</v>
      </c>
      <c r="L2" t="s">
        <v>198</v>
      </c>
      <c r="M2" t="s">
        <v>199</v>
      </c>
      <c r="N2" t="s">
        <v>200</v>
      </c>
      <c r="O2" t="s">
        <v>201</v>
      </c>
      <c r="P2" t="s">
        <v>202</v>
      </c>
      <c r="Q2" t="s">
        <v>203</v>
      </c>
      <c r="R2" t="s">
        <v>204</v>
      </c>
      <c r="S2" t="s">
        <v>205</v>
      </c>
      <c r="T2" t="s">
        <v>206</v>
      </c>
      <c r="U2" t="s">
        <v>207</v>
      </c>
      <c r="V2" t="s">
        <v>852</v>
      </c>
    </row>
    <row r="3" spans="1:22" x14ac:dyDescent="0.3">
      <c r="A3" t="s">
        <v>209</v>
      </c>
      <c r="B3" t="s">
        <v>2094</v>
      </c>
      <c r="C3" t="s">
        <v>2095</v>
      </c>
      <c r="D3" t="s">
        <v>2096</v>
      </c>
      <c r="E3" t="s">
        <v>2097</v>
      </c>
      <c r="F3" t="s">
        <v>2098</v>
      </c>
      <c r="G3" t="s">
        <v>2099</v>
      </c>
      <c r="H3" t="s">
        <v>2100</v>
      </c>
      <c r="I3" t="s">
        <v>2101</v>
      </c>
      <c r="J3" t="s">
        <v>2102</v>
      </c>
      <c r="K3" t="s">
        <v>2103</v>
      </c>
      <c r="L3" t="s">
        <v>220</v>
      </c>
      <c r="M3" t="s">
        <v>2104</v>
      </c>
      <c r="N3" t="s">
        <v>2105</v>
      </c>
      <c r="O3" t="s">
        <v>223</v>
      </c>
      <c r="P3" t="s">
        <v>2106</v>
      </c>
      <c r="Q3" t="s">
        <v>2107</v>
      </c>
      <c r="R3" t="s">
        <v>226</v>
      </c>
      <c r="S3" t="s">
        <v>2108</v>
      </c>
      <c r="T3" t="s">
        <v>2109</v>
      </c>
      <c r="U3" t="s">
        <v>229</v>
      </c>
      <c r="V3" t="s">
        <v>852</v>
      </c>
    </row>
    <row r="4" spans="1:22" x14ac:dyDescent="0.3">
      <c r="A4" t="s">
        <v>230</v>
      </c>
      <c r="B4" t="s">
        <v>2110</v>
      </c>
      <c r="C4" t="s">
        <v>2111</v>
      </c>
      <c r="D4" t="s">
        <v>2112</v>
      </c>
      <c r="E4" t="s">
        <v>2113</v>
      </c>
      <c r="F4" t="s">
        <v>2114</v>
      </c>
      <c r="G4" t="s">
        <v>2115</v>
      </c>
      <c r="H4" t="s">
        <v>2116</v>
      </c>
      <c r="I4" t="s">
        <v>2117</v>
      </c>
      <c r="J4" t="s">
        <v>2118</v>
      </c>
      <c r="K4" t="s">
        <v>2119</v>
      </c>
      <c r="L4" t="s">
        <v>2120</v>
      </c>
      <c r="M4" t="s">
        <v>2121</v>
      </c>
      <c r="N4" t="s">
        <v>2122</v>
      </c>
      <c r="O4" t="s">
        <v>2123</v>
      </c>
      <c r="P4" t="s">
        <v>2124</v>
      </c>
      <c r="Q4" t="s">
        <v>2125</v>
      </c>
      <c r="R4" t="s">
        <v>2126</v>
      </c>
      <c r="S4" t="s">
        <v>2127</v>
      </c>
      <c r="T4" t="s">
        <v>2128</v>
      </c>
      <c r="U4" t="s">
        <v>2129</v>
      </c>
      <c r="V4" t="s">
        <v>251</v>
      </c>
    </row>
    <row r="5" spans="1:22" x14ac:dyDescent="0.3">
      <c r="A5" t="s">
        <v>252</v>
      </c>
      <c r="B5" t="s">
        <v>2130</v>
      </c>
      <c r="C5" t="s">
        <v>2131</v>
      </c>
      <c r="D5" t="s">
        <v>2132</v>
      </c>
      <c r="E5" t="s">
        <v>2133</v>
      </c>
      <c r="F5" t="s">
        <v>2134</v>
      </c>
      <c r="G5" t="s">
        <v>2135</v>
      </c>
      <c r="H5" t="s">
        <v>2136</v>
      </c>
      <c r="I5" t="s">
        <v>2137</v>
      </c>
      <c r="J5" t="s">
        <v>2138</v>
      </c>
      <c r="K5" t="s">
        <v>2139</v>
      </c>
      <c r="L5" t="s">
        <v>2140</v>
      </c>
      <c r="M5" t="s">
        <v>2141</v>
      </c>
      <c r="N5" t="s">
        <v>2142</v>
      </c>
      <c r="O5" t="s">
        <v>2143</v>
      </c>
      <c r="P5" t="s">
        <v>2144</v>
      </c>
      <c r="Q5" t="s">
        <v>2145</v>
      </c>
      <c r="R5" t="s">
        <v>2146</v>
      </c>
      <c r="S5" t="s">
        <v>2147</v>
      </c>
      <c r="T5" t="s">
        <v>2148</v>
      </c>
      <c r="U5" t="s">
        <v>2149</v>
      </c>
      <c r="V5" t="s">
        <v>251</v>
      </c>
    </row>
    <row r="6" spans="1:22" x14ac:dyDescent="0.3">
      <c r="A6" t="s">
        <v>273</v>
      </c>
      <c r="B6" t="s">
        <v>2150</v>
      </c>
      <c r="C6" t="s">
        <v>2151</v>
      </c>
      <c r="D6" t="s">
        <v>2152</v>
      </c>
      <c r="E6" t="s">
        <v>2153</v>
      </c>
      <c r="F6" t="s">
        <v>2154</v>
      </c>
      <c r="G6" t="s">
        <v>1972</v>
      </c>
      <c r="H6" t="s">
        <v>2155</v>
      </c>
      <c r="I6" t="s">
        <v>2156</v>
      </c>
      <c r="J6" t="s">
        <v>2157</v>
      </c>
      <c r="K6" t="s">
        <v>2158</v>
      </c>
      <c r="L6" t="s">
        <v>2159</v>
      </c>
      <c r="M6" t="s">
        <v>2160</v>
      </c>
      <c r="N6" t="s">
        <v>2161</v>
      </c>
      <c r="O6" t="s">
        <v>2162</v>
      </c>
      <c r="P6" t="s">
        <v>2163</v>
      </c>
      <c r="Q6" t="s">
        <v>2164</v>
      </c>
      <c r="R6" t="s">
        <v>2165</v>
      </c>
      <c r="S6" t="s">
        <v>2166</v>
      </c>
      <c r="T6" t="s">
        <v>2167</v>
      </c>
      <c r="U6" t="s">
        <v>2168</v>
      </c>
      <c r="V6" t="s">
        <v>251</v>
      </c>
    </row>
    <row r="7" spans="1:22" x14ac:dyDescent="0.3">
      <c r="A7" t="s">
        <v>294</v>
      </c>
      <c r="B7" t="s">
        <v>2169</v>
      </c>
      <c r="C7" t="s">
        <v>2170</v>
      </c>
      <c r="D7" t="s">
        <v>2171</v>
      </c>
      <c r="E7" t="s">
        <v>2172</v>
      </c>
      <c r="F7" t="s">
        <v>2173</v>
      </c>
      <c r="G7" t="s">
        <v>2174</v>
      </c>
      <c r="H7" t="s">
        <v>2175</v>
      </c>
      <c r="I7" t="s">
        <v>2176</v>
      </c>
      <c r="J7" t="s">
        <v>2177</v>
      </c>
      <c r="K7" t="s">
        <v>2178</v>
      </c>
      <c r="L7" t="s">
        <v>2179</v>
      </c>
      <c r="M7" t="s">
        <v>2180</v>
      </c>
      <c r="N7" t="s">
        <v>2181</v>
      </c>
      <c r="O7" t="s">
        <v>2182</v>
      </c>
      <c r="P7" t="s">
        <v>2183</v>
      </c>
      <c r="Q7" t="s">
        <v>2184</v>
      </c>
      <c r="R7" t="s">
        <v>2185</v>
      </c>
      <c r="S7" t="s">
        <v>2186</v>
      </c>
      <c r="T7" t="s">
        <v>2187</v>
      </c>
      <c r="U7" t="s">
        <v>2188</v>
      </c>
      <c r="V7" t="s">
        <v>251</v>
      </c>
    </row>
    <row r="8" spans="1:22" x14ac:dyDescent="0.3">
      <c r="A8" t="s">
        <v>315</v>
      </c>
      <c r="B8" t="s">
        <v>2189</v>
      </c>
      <c r="C8" t="s">
        <v>2190</v>
      </c>
      <c r="D8" t="s">
        <v>2191</v>
      </c>
      <c r="E8" t="s">
        <v>2192</v>
      </c>
      <c r="F8" t="s">
        <v>2193</v>
      </c>
      <c r="G8" t="s">
        <v>2194</v>
      </c>
      <c r="H8" t="s">
        <v>2195</v>
      </c>
      <c r="I8" t="s">
        <v>2196</v>
      </c>
      <c r="J8" t="s">
        <v>2197</v>
      </c>
      <c r="K8" t="s">
        <v>2198</v>
      </c>
      <c r="L8" t="s">
        <v>2199</v>
      </c>
      <c r="M8" t="s">
        <v>2200</v>
      </c>
      <c r="N8" t="s">
        <v>2201</v>
      </c>
      <c r="O8" t="s">
        <v>2202</v>
      </c>
      <c r="P8" t="s">
        <v>2202</v>
      </c>
      <c r="Q8" t="s">
        <v>2203</v>
      </c>
      <c r="R8" t="s">
        <v>2204</v>
      </c>
      <c r="S8" t="s">
        <v>2205</v>
      </c>
      <c r="T8" t="s">
        <v>2206</v>
      </c>
      <c r="U8" t="s">
        <v>2207</v>
      </c>
      <c r="V8" t="s">
        <v>251</v>
      </c>
    </row>
    <row r="9" spans="1:22" x14ac:dyDescent="0.3">
      <c r="A9" t="s">
        <v>336</v>
      </c>
      <c r="B9" t="s">
        <v>2208</v>
      </c>
      <c r="C9" t="s">
        <v>2209</v>
      </c>
      <c r="D9" t="s">
        <v>2210</v>
      </c>
      <c r="E9" t="s">
        <v>2211</v>
      </c>
      <c r="F9" t="s">
        <v>2212</v>
      </c>
      <c r="G9" t="s">
        <v>2213</v>
      </c>
      <c r="H9" t="s">
        <v>2214</v>
      </c>
      <c r="I9" t="s">
        <v>2215</v>
      </c>
      <c r="J9" t="s">
        <v>2216</v>
      </c>
      <c r="K9" t="s">
        <v>2217</v>
      </c>
      <c r="L9" t="s">
        <v>2218</v>
      </c>
      <c r="M9" t="s">
        <v>2219</v>
      </c>
      <c r="N9" t="s">
        <v>2220</v>
      </c>
      <c r="O9" t="s">
        <v>2221</v>
      </c>
      <c r="P9" t="s">
        <v>2222</v>
      </c>
      <c r="Q9" t="s">
        <v>2223</v>
      </c>
      <c r="R9" t="s">
        <v>2224</v>
      </c>
      <c r="S9" t="s">
        <v>2225</v>
      </c>
      <c r="T9" t="s">
        <v>2226</v>
      </c>
      <c r="U9" t="s">
        <v>2227</v>
      </c>
      <c r="V9" t="s">
        <v>251</v>
      </c>
    </row>
    <row r="10" spans="1:22" x14ac:dyDescent="0.3">
      <c r="A10" t="s">
        <v>357</v>
      </c>
      <c r="B10" t="s">
        <v>2228</v>
      </c>
      <c r="C10" t="s">
        <v>2229</v>
      </c>
      <c r="D10" t="s">
        <v>2230</v>
      </c>
      <c r="E10" t="s">
        <v>2231</v>
      </c>
      <c r="F10" t="s">
        <v>2232</v>
      </c>
      <c r="G10" t="s">
        <v>2233</v>
      </c>
      <c r="H10" t="s">
        <v>2234</v>
      </c>
      <c r="I10" t="s">
        <v>2181</v>
      </c>
      <c r="J10" t="s">
        <v>2235</v>
      </c>
      <c r="K10" t="s">
        <v>2236</v>
      </c>
      <c r="L10" t="s">
        <v>2237</v>
      </c>
      <c r="M10" t="s">
        <v>2238</v>
      </c>
      <c r="N10" t="s">
        <v>1823</v>
      </c>
      <c r="O10" t="s">
        <v>2239</v>
      </c>
      <c r="P10" t="s">
        <v>2240</v>
      </c>
      <c r="Q10" t="s">
        <v>2241</v>
      </c>
      <c r="R10" t="s">
        <v>2242</v>
      </c>
      <c r="S10" t="s">
        <v>2243</v>
      </c>
      <c r="T10" t="s">
        <v>2244</v>
      </c>
      <c r="U10" t="s">
        <v>2245</v>
      </c>
      <c r="V10" t="s">
        <v>251</v>
      </c>
    </row>
    <row r="11" spans="1:22" x14ac:dyDescent="0.3">
      <c r="A11" t="s">
        <v>378</v>
      </c>
      <c r="B11" t="s">
        <v>2246</v>
      </c>
      <c r="C11" t="s">
        <v>2247</v>
      </c>
      <c r="D11" t="s">
        <v>2248</v>
      </c>
      <c r="E11" t="s">
        <v>2249</v>
      </c>
      <c r="F11" t="s">
        <v>2250</v>
      </c>
      <c r="G11" t="s">
        <v>2251</v>
      </c>
      <c r="H11" t="s">
        <v>2252</v>
      </c>
      <c r="I11" t="s">
        <v>2253</v>
      </c>
      <c r="J11" t="s">
        <v>2254</v>
      </c>
      <c r="K11" t="s">
        <v>2255</v>
      </c>
      <c r="L11" t="s">
        <v>2256</v>
      </c>
      <c r="M11" t="s">
        <v>2257</v>
      </c>
      <c r="N11" t="s">
        <v>2258</v>
      </c>
      <c r="O11" t="s">
        <v>2259</v>
      </c>
      <c r="P11" t="s">
        <v>2260</v>
      </c>
      <c r="Q11" t="s">
        <v>2261</v>
      </c>
      <c r="R11" t="s">
        <v>2262</v>
      </c>
      <c r="S11" t="s">
        <v>2263</v>
      </c>
      <c r="T11" t="s">
        <v>2264</v>
      </c>
      <c r="U11" t="s">
        <v>2265</v>
      </c>
      <c r="V11" t="s">
        <v>251</v>
      </c>
    </row>
    <row r="12" spans="1:22" x14ac:dyDescent="0.3">
      <c r="A12" t="s">
        <v>399</v>
      </c>
      <c r="B12" t="s">
        <v>1015</v>
      </c>
      <c r="C12" t="s">
        <v>1269</v>
      </c>
      <c r="D12" t="s">
        <v>2266</v>
      </c>
      <c r="E12" t="s">
        <v>1015</v>
      </c>
      <c r="F12" t="s">
        <v>1015</v>
      </c>
      <c r="G12" t="s">
        <v>1015</v>
      </c>
      <c r="H12" t="s">
        <v>2267</v>
      </c>
      <c r="I12" t="s">
        <v>2266</v>
      </c>
      <c r="J12" t="s">
        <v>2266</v>
      </c>
      <c r="K12" t="s">
        <v>2268</v>
      </c>
      <c r="L12" t="s">
        <v>2269</v>
      </c>
      <c r="M12" t="s">
        <v>2267</v>
      </c>
      <c r="N12" t="s">
        <v>2268</v>
      </c>
      <c r="O12" t="s">
        <v>2268</v>
      </c>
      <c r="P12" t="s">
        <v>2270</v>
      </c>
      <c r="Q12" t="s">
        <v>1015</v>
      </c>
      <c r="R12" t="s">
        <v>1269</v>
      </c>
      <c r="S12" t="s">
        <v>2271</v>
      </c>
      <c r="T12" t="s">
        <v>1030</v>
      </c>
      <c r="U12" t="s">
        <v>1030</v>
      </c>
      <c r="V12" t="s">
        <v>251</v>
      </c>
    </row>
    <row r="13" spans="1:22" x14ac:dyDescent="0.3">
      <c r="A13" t="s">
        <v>418</v>
      </c>
      <c r="B13" t="s">
        <v>2272</v>
      </c>
      <c r="C13" t="s">
        <v>2202</v>
      </c>
      <c r="D13" t="s">
        <v>2273</v>
      </c>
      <c r="E13" t="s">
        <v>2274</v>
      </c>
      <c r="F13" t="s">
        <v>1367</v>
      </c>
      <c r="G13" t="s">
        <v>2275</v>
      </c>
      <c r="H13" t="s">
        <v>2276</v>
      </c>
      <c r="I13" t="s">
        <v>2277</v>
      </c>
      <c r="J13" t="s">
        <v>602</v>
      </c>
      <c r="K13" t="s">
        <v>2278</v>
      </c>
      <c r="L13" t="s">
        <v>2279</v>
      </c>
      <c r="M13" t="s">
        <v>2280</v>
      </c>
      <c r="N13" t="s">
        <v>2281</v>
      </c>
      <c r="O13" t="s">
        <v>2282</v>
      </c>
      <c r="P13" t="s">
        <v>2283</v>
      </c>
      <c r="Q13" t="s">
        <v>2284</v>
      </c>
      <c r="R13" t="s">
        <v>2285</v>
      </c>
      <c r="S13" t="s">
        <v>1013</v>
      </c>
      <c r="T13" t="s">
        <v>1013</v>
      </c>
      <c r="U13" t="s">
        <v>2285</v>
      </c>
      <c r="V13" t="s">
        <v>251</v>
      </c>
    </row>
    <row r="14" spans="1:22" x14ac:dyDescent="0.3">
      <c r="A14" t="s">
        <v>437</v>
      </c>
      <c r="B14" t="s">
        <v>436</v>
      </c>
      <c r="C14" t="s">
        <v>436</v>
      </c>
      <c r="D14" t="s">
        <v>436</v>
      </c>
      <c r="E14" t="s">
        <v>436</v>
      </c>
      <c r="F14" t="s">
        <v>436</v>
      </c>
      <c r="G14" t="s">
        <v>436</v>
      </c>
      <c r="H14" t="s">
        <v>436</v>
      </c>
      <c r="I14" t="s">
        <v>436</v>
      </c>
      <c r="J14" t="s">
        <v>436</v>
      </c>
      <c r="K14" t="s">
        <v>436</v>
      </c>
      <c r="L14" t="s">
        <v>436</v>
      </c>
      <c r="M14" t="s">
        <v>436</v>
      </c>
      <c r="N14" t="s">
        <v>436</v>
      </c>
      <c r="O14" t="s">
        <v>436</v>
      </c>
      <c r="P14" t="s">
        <v>436</v>
      </c>
      <c r="Q14" t="s">
        <v>436</v>
      </c>
      <c r="R14" t="s">
        <v>436</v>
      </c>
      <c r="S14" t="s">
        <v>436</v>
      </c>
      <c r="T14" t="s">
        <v>436</v>
      </c>
      <c r="U14" t="s">
        <v>2286</v>
      </c>
      <c r="V14" t="s">
        <v>251</v>
      </c>
    </row>
    <row r="15" spans="1:22" x14ac:dyDescent="0.3">
      <c r="A15" t="s">
        <v>439</v>
      </c>
      <c r="B15" t="s">
        <v>2287</v>
      </c>
      <c r="C15" t="s">
        <v>2288</v>
      </c>
      <c r="D15" t="s">
        <v>2289</v>
      </c>
      <c r="E15" t="s">
        <v>2290</v>
      </c>
      <c r="F15" t="s">
        <v>2291</v>
      </c>
      <c r="G15" t="s">
        <v>2292</v>
      </c>
      <c r="H15" t="s">
        <v>1013</v>
      </c>
      <c r="I15" t="s">
        <v>2293</v>
      </c>
      <c r="J15" t="s">
        <v>2270</v>
      </c>
      <c r="K15" t="s">
        <v>2294</v>
      </c>
      <c r="L15" t="s">
        <v>2293</v>
      </c>
      <c r="M15" t="s">
        <v>2295</v>
      </c>
      <c r="N15" t="s">
        <v>2296</v>
      </c>
      <c r="O15" t="s">
        <v>2289</v>
      </c>
      <c r="P15" t="s">
        <v>2297</v>
      </c>
      <c r="Q15" t="s">
        <v>2293</v>
      </c>
      <c r="R15" t="s">
        <v>2298</v>
      </c>
      <c r="S15" t="s">
        <v>2299</v>
      </c>
      <c r="T15" t="s">
        <v>2297</v>
      </c>
      <c r="U15" t="s">
        <v>2300</v>
      </c>
      <c r="V15" t="s">
        <v>251</v>
      </c>
    </row>
    <row r="16" spans="1:22" x14ac:dyDescent="0.3">
      <c r="A16" t="s">
        <v>460</v>
      </c>
      <c r="B16" t="s">
        <v>2301</v>
      </c>
      <c r="C16" t="s">
        <v>2302</v>
      </c>
      <c r="D16" t="s">
        <v>2303</v>
      </c>
      <c r="E16" t="s">
        <v>2304</v>
      </c>
      <c r="F16" t="s">
        <v>2305</v>
      </c>
      <c r="G16" t="s">
        <v>2306</v>
      </c>
      <c r="H16" t="s">
        <v>2307</v>
      </c>
      <c r="I16" t="s">
        <v>2308</v>
      </c>
      <c r="J16" t="s">
        <v>2309</v>
      </c>
      <c r="K16" t="s">
        <v>2310</v>
      </c>
      <c r="L16" t="s">
        <v>2311</v>
      </c>
      <c r="M16" t="s">
        <v>2312</v>
      </c>
      <c r="N16" t="s">
        <v>2313</v>
      </c>
      <c r="O16" t="s">
        <v>2207</v>
      </c>
      <c r="P16" t="s">
        <v>2314</v>
      </c>
      <c r="Q16" t="s">
        <v>2315</v>
      </c>
      <c r="R16" t="s">
        <v>2316</v>
      </c>
      <c r="S16" t="s">
        <v>2317</v>
      </c>
      <c r="T16" t="s">
        <v>2318</v>
      </c>
      <c r="U16" t="s">
        <v>2319</v>
      </c>
      <c r="V16" t="s">
        <v>251</v>
      </c>
    </row>
    <row r="17" spans="1:22" x14ac:dyDescent="0.3">
      <c r="A17" t="s">
        <v>480</v>
      </c>
      <c r="B17" t="s">
        <v>436</v>
      </c>
      <c r="C17" t="s">
        <v>436</v>
      </c>
      <c r="D17" t="s">
        <v>436</v>
      </c>
      <c r="E17" t="s">
        <v>436</v>
      </c>
      <c r="F17" t="s">
        <v>436</v>
      </c>
      <c r="G17" t="s">
        <v>436</v>
      </c>
      <c r="H17" t="s">
        <v>436</v>
      </c>
      <c r="I17" t="s">
        <v>436</v>
      </c>
      <c r="J17" t="s">
        <v>436</v>
      </c>
      <c r="K17" t="s">
        <v>436</v>
      </c>
      <c r="L17" t="s">
        <v>436</v>
      </c>
      <c r="M17" t="s">
        <v>436</v>
      </c>
      <c r="N17" t="s">
        <v>436</v>
      </c>
      <c r="O17" t="s">
        <v>436</v>
      </c>
      <c r="P17" t="s">
        <v>2320</v>
      </c>
      <c r="Q17" t="s">
        <v>436</v>
      </c>
      <c r="R17" t="s">
        <v>436</v>
      </c>
      <c r="S17" t="s">
        <v>436</v>
      </c>
      <c r="T17" t="s">
        <v>436</v>
      </c>
      <c r="U17" t="s">
        <v>1286</v>
      </c>
      <c r="V17" t="s">
        <v>251</v>
      </c>
    </row>
    <row r="18" spans="1:22" x14ac:dyDescent="0.3">
      <c r="A18" t="s">
        <v>485</v>
      </c>
      <c r="B18" t="s">
        <v>2321</v>
      </c>
      <c r="C18" t="s">
        <v>2322</v>
      </c>
      <c r="D18" t="s">
        <v>1276</v>
      </c>
      <c r="E18" t="s">
        <v>2323</v>
      </c>
      <c r="F18" t="s">
        <v>2284</v>
      </c>
      <c r="G18" t="s">
        <v>2324</v>
      </c>
      <c r="H18" t="s">
        <v>2325</v>
      </c>
      <c r="I18" t="s">
        <v>1934</v>
      </c>
      <c r="J18" t="s">
        <v>2326</v>
      </c>
      <c r="K18" t="s">
        <v>2293</v>
      </c>
      <c r="L18" t="s">
        <v>2327</v>
      </c>
      <c r="M18" t="s">
        <v>2328</v>
      </c>
      <c r="N18" t="s">
        <v>436</v>
      </c>
      <c r="O18" t="s">
        <v>436</v>
      </c>
      <c r="P18" t="s">
        <v>2329</v>
      </c>
      <c r="Q18" t="s">
        <v>2330</v>
      </c>
      <c r="R18" t="s">
        <v>2331</v>
      </c>
      <c r="S18" t="s">
        <v>2332</v>
      </c>
      <c r="T18" t="s">
        <v>2333</v>
      </c>
      <c r="U18" t="s">
        <v>2284</v>
      </c>
      <c r="V18" t="s">
        <v>251</v>
      </c>
    </row>
    <row r="19" spans="1:22" x14ac:dyDescent="0.3">
      <c r="A19" t="s">
        <v>499</v>
      </c>
      <c r="B19" t="s">
        <v>2334</v>
      </c>
      <c r="C19" t="s">
        <v>2335</v>
      </c>
      <c r="D19" t="s">
        <v>2336</v>
      </c>
      <c r="E19" t="s">
        <v>2337</v>
      </c>
      <c r="F19" t="s">
        <v>2338</v>
      </c>
      <c r="G19" t="s">
        <v>2339</v>
      </c>
      <c r="H19" t="s">
        <v>2340</v>
      </c>
      <c r="I19" t="s">
        <v>2341</v>
      </c>
      <c r="J19" t="s">
        <v>2342</v>
      </c>
      <c r="K19" t="s">
        <v>2343</v>
      </c>
      <c r="L19" t="s">
        <v>2344</v>
      </c>
      <c r="M19" t="s">
        <v>2345</v>
      </c>
      <c r="N19" t="s">
        <v>2313</v>
      </c>
      <c r="O19" t="s">
        <v>2207</v>
      </c>
      <c r="P19" t="s">
        <v>2346</v>
      </c>
      <c r="Q19" t="s">
        <v>2347</v>
      </c>
      <c r="R19" t="s">
        <v>2348</v>
      </c>
      <c r="S19" t="s">
        <v>2349</v>
      </c>
      <c r="T19" t="s">
        <v>2350</v>
      </c>
      <c r="U19" t="s">
        <v>2351</v>
      </c>
      <c r="V19" t="s">
        <v>251</v>
      </c>
    </row>
    <row r="20" spans="1:22" x14ac:dyDescent="0.3">
      <c r="A20" t="s">
        <v>513</v>
      </c>
      <c r="B20" t="s">
        <v>2352</v>
      </c>
      <c r="C20" t="s">
        <v>2353</v>
      </c>
      <c r="D20" t="s">
        <v>2354</v>
      </c>
      <c r="E20" t="s">
        <v>1825</v>
      </c>
      <c r="F20" t="s">
        <v>2355</v>
      </c>
      <c r="G20" t="s">
        <v>2356</v>
      </c>
      <c r="H20" t="s">
        <v>2357</v>
      </c>
      <c r="I20" t="s">
        <v>2358</v>
      </c>
      <c r="J20" t="s">
        <v>2359</v>
      </c>
      <c r="K20" t="s">
        <v>2360</v>
      </c>
      <c r="L20" t="s">
        <v>2361</v>
      </c>
      <c r="M20" t="s">
        <v>2362</v>
      </c>
      <c r="N20" t="s">
        <v>2363</v>
      </c>
      <c r="O20" t="s">
        <v>2364</v>
      </c>
      <c r="P20" t="s">
        <v>2278</v>
      </c>
      <c r="Q20" t="s">
        <v>2365</v>
      </c>
      <c r="R20" t="s">
        <v>2366</v>
      </c>
      <c r="S20" t="s">
        <v>1031</v>
      </c>
      <c r="T20" t="s">
        <v>2367</v>
      </c>
      <c r="U20" t="s">
        <v>2368</v>
      </c>
      <c r="V20" t="s">
        <v>251</v>
      </c>
    </row>
    <row r="21" spans="1:22" x14ac:dyDescent="0.3">
      <c r="A21" t="s">
        <v>568</v>
      </c>
      <c r="B21" t="s">
        <v>2369</v>
      </c>
      <c r="C21" t="s">
        <v>2370</v>
      </c>
      <c r="D21" t="s">
        <v>2371</v>
      </c>
      <c r="E21" t="s">
        <v>2372</v>
      </c>
      <c r="F21" t="s">
        <v>2373</v>
      </c>
      <c r="G21" t="s">
        <v>2374</v>
      </c>
      <c r="H21" t="s">
        <v>2375</v>
      </c>
      <c r="I21" t="s">
        <v>2376</v>
      </c>
      <c r="J21" t="s">
        <v>2377</v>
      </c>
      <c r="K21" t="s">
        <v>2378</v>
      </c>
      <c r="L21" t="s">
        <v>2379</v>
      </c>
      <c r="M21" t="s">
        <v>2380</v>
      </c>
      <c r="N21" t="s">
        <v>2381</v>
      </c>
      <c r="O21" t="s">
        <v>2382</v>
      </c>
      <c r="P21" t="s">
        <v>2222</v>
      </c>
      <c r="Q21" t="s">
        <v>2383</v>
      </c>
      <c r="R21" t="s">
        <v>2384</v>
      </c>
      <c r="S21" t="s">
        <v>2385</v>
      </c>
      <c r="T21" t="s">
        <v>2386</v>
      </c>
      <c r="U21" t="s">
        <v>2387</v>
      </c>
      <c r="V21" t="s">
        <v>251</v>
      </c>
    </row>
    <row r="22" spans="1:22" x14ac:dyDescent="0.3">
      <c r="A22" t="s">
        <v>585</v>
      </c>
      <c r="B22" t="s">
        <v>2369</v>
      </c>
      <c r="C22" t="s">
        <v>2370</v>
      </c>
      <c r="D22" t="s">
        <v>2371</v>
      </c>
      <c r="E22" t="s">
        <v>2372</v>
      </c>
      <c r="F22" t="s">
        <v>2373</v>
      </c>
      <c r="G22" t="s">
        <v>2374</v>
      </c>
      <c r="H22" t="s">
        <v>2375</v>
      </c>
      <c r="I22" t="s">
        <v>2376</v>
      </c>
      <c r="J22" t="s">
        <v>2377</v>
      </c>
      <c r="K22" t="s">
        <v>2378</v>
      </c>
      <c r="L22" t="s">
        <v>2379</v>
      </c>
      <c r="M22" t="s">
        <v>2380</v>
      </c>
      <c r="N22" t="s">
        <v>2381</v>
      </c>
      <c r="O22" t="s">
        <v>2382</v>
      </c>
      <c r="P22" t="s">
        <v>2222</v>
      </c>
      <c r="Q22" t="s">
        <v>2383</v>
      </c>
      <c r="R22" t="s">
        <v>2384</v>
      </c>
      <c r="S22" t="s">
        <v>2385</v>
      </c>
      <c r="T22" t="s">
        <v>2386</v>
      </c>
      <c r="U22" t="s">
        <v>2387</v>
      </c>
      <c r="V22" t="s">
        <v>251</v>
      </c>
    </row>
    <row r="23" spans="1:22" x14ac:dyDescent="0.3">
      <c r="A23" t="s">
        <v>586</v>
      </c>
      <c r="B23" t="s">
        <v>2388</v>
      </c>
      <c r="C23" t="s">
        <v>2389</v>
      </c>
      <c r="D23" t="s">
        <v>2390</v>
      </c>
      <c r="E23" t="s">
        <v>2391</v>
      </c>
      <c r="F23" t="s">
        <v>2392</v>
      </c>
      <c r="G23" t="s">
        <v>2393</v>
      </c>
      <c r="H23" t="s">
        <v>2394</v>
      </c>
      <c r="I23" t="s">
        <v>2395</v>
      </c>
      <c r="J23" t="s">
        <v>2396</v>
      </c>
      <c r="K23" t="s">
        <v>2397</v>
      </c>
      <c r="L23" t="s">
        <v>2398</v>
      </c>
      <c r="M23" t="s">
        <v>2399</v>
      </c>
      <c r="N23" t="s">
        <v>2400</v>
      </c>
      <c r="O23" t="s">
        <v>2401</v>
      </c>
      <c r="P23" t="s">
        <v>2402</v>
      </c>
      <c r="Q23" t="s">
        <v>2403</v>
      </c>
      <c r="R23" t="s">
        <v>2404</v>
      </c>
      <c r="S23" t="s">
        <v>2405</v>
      </c>
      <c r="T23" t="s">
        <v>2406</v>
      </c>
      <c r="U23" t="s">
        <v>2407</v>
      </c>
      <c r="V23" t="s">
        <v>251</v>
      </c>
    </row>
    <row r="24" spans="1:22" x14ac:dyDescent="0.3">
      <c r="A24" t="s">
        <v>589</v>
      </c>
      <c r="B24" t="s">
        <v>2408</v>
      </c>
      <c r="C24" t="s">
        <v>2409</v>
      </c>
      <c r="D24" t="s">
        <v>2410</v>
      </c>
      <c r="E24" t="s">
        <v>2304</v>
      </c>
      <c r="F24" t="s">
        <v>2411</v>
      </c>
      <c r="G24" t="s">
        <v>2412</v>
      </c>
      <c r="H24" t="s">
        <v>2413</v>
      </c>
      <c r="I24" t="s">
        <v>2414</v>
      </c>
      <c r="J24" t="s">
        <v>2415</v>
      </c>
      <c r="K24" t="s">
        <v>2416</v>
      </c>
      <c r="L24" t="s">
        <v>2417</v>
      </c>
      <c r="M24" t="s">
        <v>2418</v>
      </c>
      <c r="N24" t="s">
        <v>2419</v>
      </c>
      <c r="O24" t="s">
        <v>2420</v>
      </c>
      <c r="P24" t="s">
        <v>2421</v>
      </c>
      <c r="Q24" t="s">
        <v>2422</v>
      </c>
      <c r="R24" t="s">
        <v>2423</v>
      </c>
      <c r="S24" t="s">
        <v>2424</v>
      </c>
      <c r="T24" t="s">
        <v>2425</v>
      </c>
      <c r="U24" t="s">
        <v>2426</v>
      </c>
      <c r="V24" t="s">
        <v>251</v>
      </c>
    </row>
    <row r="25" spans="1:22" x14ac:dyDescent="0.3">
      <c r="A25" t="s">
        <v>610</v>
      </c>
      <c r="B25" t="s">
        <v>2427</v>
      </c>
      <c r="C25" t="s">
        <v>1713</v>
      </c>
      <c r="D25" t="s">
        <v>2428</v>
      </c>
      <c r="E25" t="s">
        <v>2429</v>
      </c>
      <c r="F25" t="s">
        <v>2430</v>
      </c>
      <c r="G25" t="s">
        <v>2431</v>
      </c>
      <c r="H25" t="s">
        <v>2432</v>
      </c>
      <c r="I25" t="s">
        <v>2433</v>
      </c>
      <c r="J25" t="s">
        <v>2434</v>
      </c>
      <c r="K25" t="s">
        <v>2435</v>
      </c>
      <c r="L25" t="s">
        <v>2433</v>
      </c>
      <c r="M25" t="s">
        <v>2436</v>
      </c>
      <c r="N25" t="s">
        <v>2423</v>
      </c>
      <c r="O25" t="s">
        <v>2437</v>
      </c>
      <c r="P25" t="s">
        <v>2438</v>
      </c>
      <c r="Q25" t="s">
        <v>2439</v>
      </c>
      <c r="R25" t="s">
        <v>2440</v>
      </c>
      <c r="S25" t="s">
        <v>2441</v>
      </c>
      <c r="T25" t="s">
        <v>2442</v>
      </c>
      <c r="U25" t="s">
        <v>2443</v>
      </c>
      <c r="V25" t="s">
        <v>251</v>
      </c>
    </row>
    <row r="26" spans="1:22" x14ac:dyDescent="0.3">
      <c r="A26" t="s">
        <v>611</v>
      </c>
      <c r="B26" t="s">
        <v>2444</v>
      </c>
      <c r="C26" t="s">
        <v>1464</v>
      </c>
      <c r="D26" t="s">
        <v>1455</v>
      </c>
      <c r="E26" t="s">
        <v>2445</v>
      </c>
      <c r="F26" t="s">
        <v>2446</v>
      </c>
      <c r="G26" t="s">
        <v>2447</v>
      </c>
      <c r="H26" t="s">
        <v>2448</v>
      </c>
      <c r="I26" t="s">
        <v>2449</v>
      </c>
      <c r="J26" t="s">
        <v>1689</v>
      </c>
      <c r="K26" t="s">
        <v>2450</v>
      </c>
      <c r="L26" t="s">
        <v>2451</v>
      </c>
      <c r="M26" t="s">
        <v>2452</v>
      </c>
      <c r="N26" t="s">
        <v>2453</v>
      </c>
      <c r="O26" t="s">
        <v>2454</v>
      </c>
      <c r="P26" t="s">
        <v>2455</v>
      </c>
      <c r="Q26" t="s">
        <v>935</v>
      </c>
      <c r="R26" t="s">
        <v>616</v>
      </c>
      <c r="S26" t="s">
        <v>2456</v>
      </c>
      <c r="T26" t="s">
        <v>2457</v>
      </c>
      <c r="U26" t="s">
        <v>2457</v>
      </c>
      <c r="V26" t="s">
        <v>251</v>
      </c>
    </row>
    <row r="27" spans="1:22" x14ac:dyDescent="0.3">
      <c r="A27" t="s">
        <v>632</v>
      </c>
      <c r="B27" t="s">
        <v>2458</v>
      </c>
      <c r="C27" t="s">
        <v>2027</v>
      </c>
      <c r="D27" t="s">
        <v>2032</v>
      </c>
      <c r="E27" t="s">
        <v>2028</v>
      </c>
      <c r="F27" t="s">
        <v>557</v>
      </c>
      <c r="G27" t="s">
        <v>2459</v>
      </c>
      <c r="H27" t="s">
        <v>2042</v>
      </c>
      <c r="I27" t="s">
        <v>2460</v>
      </c>
      <c r="J27" t="s">
        <v>2461</v>
      </c>
      <c r="K27" t="s">
        <v>2462</v>
      </c>
      <c r="L27" t="s">
        <v>455</v>
      </c>
      <c r="M27" t="s">
        <v>2463</v>
      </c>
      <c r="N27" t="s">
        <v>438</v>
      </c>
      <c r="O27" t="s">
        <v>438</v>
      </c>
      <c r="P27" t="s">
        <v>2463</v>
      </c>
      <c r="Q27" t="s">
        <v>452</v>
      </c>
      <c r="R27" t="s">
        <v>2464</v>
      </c>
      <c r="S27" t="s">
        <v>2464</v>
      </c>
      <c r="T27" t="s">
        <v>455</v>
      </c>
      <c r="U27" t="s">
        <v>2463</v>
      </c>
      <c r="V27" t="s">
        <v>251</v>
      </c>
    </row>
    <row r="28" spans="1:22" x14ac:dyDescent="0.3">
      <c r="A28" t="s">
        <v>650</v>
      </c>
      <c r="B28" t="s">
        <v>2465</v>
      </c>
      <c r="C28" t="s">
        <v>2027</v>
      </c>
      <c r="D28" t="s">
        <v>2045</v>
      </c>
      <c r="E28" t="s">
        <v>2028</v>
      </c>
      <c r="F28" t="s">
        <v>446</v>
      </c>
      <c r="G28" t="s">
        <v>2466</v>
      </c>
      <c r="H28" t="s">
        <v>2042</v>
      </c>
      <c r="I28" t="s">
        <v>577</v>
      </c>
      <c r="J28" t="s">
        <v>2461</v>
      </c>
      <c r="K28" t="s">
        <v>2462</v>
      </c>
      <c r="L28" t="s">
        <v>455</v>
      </c>
      <c r="M28" t="s">
        <v>2463</v>
      </c>
      <c r="N28" t="s">
        <v>438</v>
      </c>
      <c r="O28" t="s">
        <v>438</v>
      </c>
      <c r="P28" t="s">
        <v>2463</v>
      </c>
      <c r="Q28" t="s">
        <v>452</v>
      </c>
      <c r="R28" t="s">
        <v>2464</v>
      </c>
      <c r="S28" t="s">
        <v>2467</v>
      </c>
      <c r="T28" t="s">
        <v>455</v>
      </c>
      <c r="U28" t="s">
        <v>2463</v>
      </c>
      <c r="V28" t="s">
        <v>251</v>
      </c>
    </row>
    <row r="29" spans="1:22" x14ac:dyDescent="0.3">
      <c r="A29" t="s">
        <v>652</v>
      </c>
      <c r="B29" t="s">
        <v>2468</v>
      </c>
      <c r="C29" t="s">
        <v>2469</v>
      </c>
      <c r="D29" t="s">
        <v>2470</v>
      </c>
      <c r="E29" t="s">
        <v>2471</v>
      </c>
      <c r="F29" t="s">
        <v>2472</v>
      </c>
      <c r="G29" t="s">
        <v>2473</v>
      </c>
      <c r="H29" t="s">
        <v>2474</v>
      </c>
      <c r="I29" t="s">
        <v>2475</v>
      </c>
      <c r="J29" t="s">
        <v>2476</v>
      </c>
      <c r="K29" t="s">
        <v>2477</v>
      </c>
      <c r="L29" t="s">
        <v>2478</v>
      </c>
      <c r="M29" t="s">
        <v>2479</v>
      </c>
      <c r="N29" t="s">
        <v>2480</v>
      </c>
      <c r="O29" t="s">
        <v>2481</v>
      </c>
      <c r="P29" t="s">
        <v>2482</v>
      </c>
      <c r="Q29" t="s">
        <v>2483</v>
      </c>
      <c r="R29" t="s">
        <v>2484</v>
      </c>
      <c r="S29" t="s">
        <v>2485</v>
      </c>
      <c r="T29" t="s">
        <v>2486</v>
      </c>
      <c r="U29" t="s">
        <v>2487</v>
      </c>
      <c r="V29" t="s">
        <v>251</v>
      </c>
    </row>
    <row r="30" spans="1:22" x14ac:dyDescent="0.3">
      <c r="A30" t="s">
        <v>655</v>
      </c>
      <c r="B30" t="s">
        <v>2488</v>
      </c>
      <c r="C30" t="s">
        <v>2489</v>
      </c>
      <c r="D30" t="s">
        <v>2490</v>
      </c>
      <c r="E30" t="s">
        <v>2491</v>
      </c>
      <c r="F30" t="s">
        <v>2492</v>
      </c>
      <c r="G30" t="s">
        <v>2493</v>
      </c>
      <c r="H30" t="s">
        <v>2494</v>
      </c>
      <c r="I30" t="s">
        <v>2495</v>
      </c>
      <c r="J30" t="s">
        <v>2496</v>
      </c>
      <c r="K30" t="s">
        <v>2497</v>
      </c>
      <c r="L30" t="s">
        <v>2498</v>
      </c>
      <c r="M30" t="s">
        <v>2499</v>
      </c>
      <c r="N30" t="s">
        <v>2365</v>
      </c>
      <c r="O30" t="s">
        <v>2500</v>
      </c>
      <c r="P30" t="s">
        <v>2501</v>
      </c>
      <c r="Q30" t="s">
        <v>2502</v>
      </c>
      <c r="R30" t="s">
        <v>2503</v>
      </c>
      <c r="S30" t="s">
        <v>2504</v>
      </c>
      <c r="T30" t="s">
        <v>2505</v>
      </c>
      <c r="U30" t="s">
        <v>2506</v>
      </c>
      <c r="V30" t="s">
        <v>251</v>
      </c>
    </row>
    <row r="31" spans="1:22" x14ac:dyDescent="0.3">
      <c r="A31" t="s">
        <v>676</v>
      </c>
      <c r="B31" t="s">
        <v>2028</v>
      </c>
      <c r="C31" t="s">
        <v>2507</v>
      </c>
      <c r="D31" t="s">
        <v>2043</v>
      </c>
      <c r="E31" t="s">
        <v>491</v>
      </c>
      <c r="F31" t="s">
        <v>2459</v>
      </c>
      <c r="G31" t="s">
        <v>692</v>
      </c>
      <c r="H31" t="s">
        <v>2042</v>
      </c>
      <c r="I31" t="s">
        <v>558</v>
      </c>
      <c r="J31" t="s">
        <v>2508</v>
      </c>
      <c r="K31" t="s">
        <v>2509</v>
      </c>
      <c r="L31" t="s">
        <v>641</v>
      </c>
      <c r="M31" t="s">
        <v>2510</v>
      </c>
      <c r="N31" t="s">
        <v>555</v>
      </c>
      <c r="O31" t="s">
        <v>438</v>
      </c>
      <c r="P31" t="s">
        <v>2511</v>
      </c>
      <c r="Q31" t="s">
        <v>641</v>
      </c>
      <c r="R31" t="s">
        <v>2511</v>
      </c>
      <c r="S31" t="s">
        <v>2464</v>
      </c>
      <c r="T31" t="s">
        <v>2463</v>
      </c>
      <c r="U31" t="s">
        <v>2510</v>
      </c>
      <c r="V31" t="s">
        <v>251</v>
      </c>
    </row>
    <row r="32" spans="1:22" x14ac:dyDescent="0.3">
      <c r="A32" t="s">
        <v>1516</v>
      </c>
      <c r="B32" t="s">
        <v>2512</v>
      </c>
      <c r="C32" t="s">
        <v>2512</v>
      </c>
      <c r="D32" t="s">
        <v>2512</v>
      </c>
      <c r="E32" t="s">
        <v>2512</v>
      </c>
      <c r="F32" t="s">
        <v>2512</v>
      </c>
      <c r="G32" t="s">
        <v>2512</v>
      </c>
      <c r="H32" t="s">
        <v>2513</v>
      </c>
      <c r="I32" t="s">
        <v>2513</v>
      </c>
      <c r="J32" t="s">
        <v>2513</v>
      </c>
      <c r="K32" t="s">
        <v>2513</v>
      </c>
      <c r="L32" t="s">
        <v>2513</v>
      </c>
      <c r="M32" t="s">
        <v>2513</v>
      </c>
      <c r="N32" t="s">
        <v>2513</v>
      </c>
      <c r="O32" t="s">
        <v>2513</v>
      </c>
      <c r="P32" t="s">
        <v>2513</v>
      </c>
      <c r="Q32" t="s">
        <v>2513</v>
      </c>
      <c r="R32" t="s">
        <v>2513</v>
      </c>
      <c r="S32" t="s">
        <v>2513</v>
      </c>
      <c r="T32" t="s">
        <v>2513</v>
      </c>
      <c r="U32" t="s">
        <v>2513</v>
      </c>
      <c r="V32" t="s">
        <v>251</v>
      </c>
    </row>
    <row r="33" spans="1:22" x14ac:dyDescent="0.3">
      <c r="A33" t="s">
        <v>1524</v>
      </c>
      <c r="B33" t="s">
        <v>436</v>
      </c>
      <c r="C33" t="s">
        <v>436</v>
      </c>
      <c r="D33" t="s">
        <v>2514</v>
      </c>
      <c r="E33" t="s">
        <v>2514</v>
      </c>
      <c r="F33" t="s">
        <v>2514</v>
      </c>
      <c r="G33" t="s">
        <v>2514</v>
      </c>
      <c r="H33" t="s">
        <v>436</v>
      </c>
      <c r="I33" t="s">
        <v>436</v>
      </c>
      <c r="J33" t="s">
        <v>436</v>
      </c>
      <c r="K33" t="s">
        <v>436</v>
      </c>
      <c r="L33" t="s">
        <v>436</v>
      </c>
      <c r="M33" t="s">
        <v>436</v>
      </c>
      <c r="N33" t="s">
        <v>436</v>
      </c>
      <c r="O33" t="s">
        <v>436</v>
      </c>
      <c r="P33" t="s">
        <v>436</v>
      </c>
      <c r="Q33" t="s">
        <v>436</v>
      </c>
      <c r="R33" t="s">
        <v>436</v>
      </c>
      <c r="S33" t="s">
        <v>436</v>
      </c>
      <c r="T33" t="s">
        <v>436</v>
      </c>
      <c r="U33" t="s">
        <v>436</v>
      </c>
      <c r="V33" t="s">
        <v>251</v>
      </c>
    </row>
    <row r="34" spans="1:22" x14ac:dyDescent="0.3">
      <c r="A34" t="s">
        <v>694</v>
      </c>
      <c r="B34" t="s">
        <v>2515</v>
      </c>
      <c r="C34" t="s">
        <v>2516</v>
      </c>
      <c r="D34" t="s">
        <v>2517</v>
      </c>
      <c r="E34" t="s">
        <v>2518</v>
      </c>
      <c r="F34" t="s">
        <v>2519</v>
      </c>
      <c r="G34" t="s">
        <v>2520</v>
      </c>
      <c r="H34" t="s">
        <v>2521</v>
      </c>
      <c r="I34" t="s">
        <v>2522</v>
      </c>
      <c r="J34" t="s">
        <v>2523</v>
      </c>
      <c r="K34" t="s">
        <v>2524</v>
      </c>
      <c r="L34" t="s">
        <v>2525</v>
      </c>
      <c r="M34" t="s">
        <v>2526</v>
      </c>
      <c r="N34" t="s">
        <v>2527</v>
      </c>
      <c r="O34" t="s">
        <v>2528</v>
      </c>
      <c r="P34" t="s">
        <v>2529</v>
      </c>
      <c r="Q34" t="s">
        <v>2530</v>
      </c>
      <c r="R34" t="s">
        <v>2531</v>
      </c>
      <c r="S34" t="s">
        <v>2532</v>
      </c>
      <c r="T34" t="s">
        <v>2533</v>
      </c>
      <c r="U34" t="s">
        <v>2534</v>
      </c>
      <c r="V34" t="s">
        <v>251</v>
      </c>
    </row>
    <row r="35" spans="1:22" x14ac:dyDescent="0.3">
      <c r="A35" t="s">
        <v>715</v>
      </c>
      <c r="B35" t="s">
        <v>2535</v>
      </c>
      <c r="C35" t="s">
        <v>2536</v>
      </c>
      <c r="D35" t="s">
        <v>2537</v>
      </c>
      <c r="E35" t="s">
        <v>2538</v>
      </c>
      <c r="F35" t="s">
        <v>2539</v>
      </c>
      <c r="G35" t="s">
        <v>2540</v>
      </c>
      <c r="H35" t="s">
        <v>2541</v>
      </c>
      <c r="I35" t="s">
        <v>2542</v>
      </c>
      <c r="J35" t="s">
        <v>2543</v>
      </c>
      <c r="K35" t="s">
        <v>2544</v>
      </c>
      <c r="L35" t="s">
        <v>2545</v>
      </c>
      <c r="M35" t="s">
        <v>2546</v>
      </c>
      <c r="N35" t="s">
        <v>2547</v>
      </c>
      <c r="O35" t="s">
        <v>2079</v>
      </c>
      <c r="P35" t="s">
        <v>2548</v>
      </c>
      <c r="Q35" t="s">
        <v>2548</v>
      </c>
      <c r="R35" t="s">
        <v>2549</v>
      </c>
      <c r="S35" t="s">
        <v>2550</v>
      </c>
      <c r="T35" t="s">
        <v>2551</v>
      </c>
      <c r="U35" t="s">
        <v>2552</v>
      </c>
      <c r="V35" t="s">
        <v>251</v>
      </c>
    </row>
    <row r="36" spans="1:22" x14ac:dyDescent="0.3">
      <c r="A36" t="s">
        <v>736</v>
      </c>
      <c r="B36" t="s">
        <v>2553</v>
      </c>
      <c r="C36" t="s">
        <v>2554</v>
      </c>
      <c r="D36" t="s">
        <v>2555</v>
      </c>
      <c r="E36" t="s">
        <v>2556</v>
      </c>
      <c r="F36" t="s">
        <v>2557</v>
      </c>
      <c r="G36" t="s">
        <v>2558</v>
      </c>
      <c r="H36" t="s">
        <v>2559</v>
      </c>
      <c r="I36" t="s">
        <v>2560</v>
      </c>
      <c r="J36" t="s">
        <v>2561</v>
      </c>
      <c r="K36" t="s">
        <v>2562</v>
      </c>
      <c r="L36" t="s">
        <v>2563</v>
      </c>
      <c r="M36" t="s">
        <v>2564</v>
      </c>
      <c r="N36" t="s">
        <v>2565</v>
      </c>
      <c r="O36" t="s">
        <v>2566</v>
      </c>
      <c r="P36" t="s">
        <v>2567</v>
      </c>
      <c r="Q36" t="s">
        <v>2568</v>
      </c>
      <c r="R36" t="s">
        <v>2569</v>
      </c>
      <c r="S36" t="s">
        <v>2570</v>
      </c>
      <c r="T36" t="s">
        <v>2571</v>
      </c>
      <c r="U36" t="s">
        <v>2572</v>
      </c>
      <c r="V36" t="s">
        <v>251</v>
      </c>
    </row>
    <row r="37" spans="1:22" x14ac:dyDescent="0.3">
      <c r="A37" t="s">
        <v>757</v>
      </c>
      <c r="B37" t="s">
        <v>2573</v>
      </c>
      <c r="C37" t="s">
        <v>2574</v>
      </c>
      <c r="D37" t="s">
        <v>2575</v>
      </c>
      <c r="E37" t="s">
        <v>2576</v>
      </c>
      <c r="F37" t="s">
        <v>2577</v>
      </c>
      <c r="G37" t="s">
        <v>2578</v>
      </c>
      <c r="H37" t="s">
        <v>2579</v>
      </c>
      <c r="I37" t="s">
        <v>2580</v>
      </c>
      <c r="J37" t="s">
        <v>2581</v>
      </c>
      <c r="K37" t="s">
        <v>2582</v>
      </c>
      <c r="L37" t="s">
        <v>2583</v>
      </c>
      <c r="M37" t="s">
        <v>2584</v>
      </c>
      <c r="N37" t="s">
        <v>2585</v>
      </c>
      <c r="O37" t="s">
        <v>2586</v>
      </c>
      <c r="P37" t="s">
        <v>2587</v>
      </c>
      <c r="Q37" t="s">
        <v>2588</v>
      </c>
      <c r="R37" t="s">
        <v>2589</v>
      </c>
      <c r="S37" t="s">
        <v>2590</v>
      </c>
      <c r="T37" t="s">
        <v>2591</v>
      </c>
      <c r="U37" t="s">
        <v>2592</v>
      </c>
      <c r="V37" t="s">
        <v>251</v>
      </c>
    </row>
    <row r="38" spans="1:22" x14ac:dyDescent="0.3">
      <c r="A38" t="s">
        <v>778</v>
      </c>
      <c r="B38" t="s">
        <v>2593</v>
      </c>
      <c r="C38" t="s">
        <v>2594</v>
      </c>
      <c r="D38" t="s">
        <v>2595</v>
      </c>
      <c r="E38" t="s">
        <v>2596</v>
      </c>
      <c r="F38" t="s">
        <v>2597</v>
      </c>
      <c r="G38" t="s">
        <v>2598</v>
      </c>
      <c r="H38" t="s">
        <v>2599</v>
      </c>
      <c r="I38" t="s">
        <v>2600</v>
      </c>
      <c r="J38" t="s">
        <v>2601</v>
      </c>
      <c r="K38" t="s">
        <v>2602</v>
      </c>
      <c r="L38" t="s">
        <v>2603</v>
      </c>
      <c r="M38" t="s">
        <v>1835</v>
      </c>
      <c r="N38" t="s">
        <v>2604</v>
      </c>
      <c r="O38" t="s">
        <v>2605</v>
      </c>
      <c r="P38" t="s">
        <v>2606</v>
      </c>
      <c r="Q38" t="s">
        <v>2607</v>
      </c>
      <c r="R38" t="s">
        <v>1419</v>
      </c>
      <c r="S38" t="s">
        <v>2608</v>
      </c>
      <c r="T38" t="s">
        <v>2609</v>
      </c>
      <c r="U38" t="s">
        <v>2610</v>
      </c>
      <c r="V38" t="s">
        <v>251</v>
      </c>
    </row>
    <row r="39" spans="1:22" x14ac:dyDescent="0.3">
      <c r="A39" t="s">
        <v>797</v>
      </c>
      <c r="B39" t="s">
        <v>2611</v>
      </c>
      <c r="C39" t="s">
        <v>2612</v>
      </c>
      <c r="D39" t="s">
        <v>2613</v>
      </c>
      <c r="E39" t="s">
        <v>2130</v>
      </c>
      <c r="F39" t="s">
        <v>2614</v>
      </c>
      <c r="G39" t="s">
        <v>2615</v>
      </c>
      <c r="H39" t="s">
        <v>2616</v>
      </c>
      <c r="I39" t="s">
        <v>2526</v>
      </c>
      <c r="J39" t="s">
        <v>2617</v>
      </c>
      <c r="K39" t="s">
        <v>2618</v>
      </c>
      <c r="L39" t="s">
        <v>2619</v>
      </c>
      <c r="M39" t="s">
        <v>2620</v>
      </c>
      <c r="N39" t="s">
        <v>2621</v>
      </c>
      <c r="O39" t="s">
        <v>2622</v>
      </c>
      <c r="P39" t="s">
        <v>2623</v>
      </c>
      <c r="Q39" t="s">
        <v>2624</v>
      </c>
      <c r="R39" t="s">
        <v>2625</v>
      </c>
      <c r="S39" t="s">
        <v>2626</v>
      </c>
      <c r="T39" t="s">
        <v>2627</v>
      </c>
      <c r="U39" t="s">
        <v>2628</v>
      </c>
      <c r="V39" t="s">
        <v>251</v>
      </c>
    </row>
    <row r="40" spans="1:22" x14ac:dyDescent="0.3">
      <c r="A40" t="s">
        <v>817</v>
      </c>
      <c r="B40" t="s">
        <v>2629</v>
      </c>
      <c r="C40" t="s">
        <v>2630</v>
      </c>
      <c r="D40" t="s">
        <v>2631</v>
      </c>
      <c r="E40" t="s">
        <v>2632</v>
      </c>
      <c r="F40" t="s">
        <v>2633</v>
      </c>
      <c r="G40" t="s">
        <v>2634</v>
      </c>
      <c r="H40" t="s">
        <v>2635</v>
      </c>
      <c r="I40" t="s">
        <v>2636</v>
      </c>
      <c r="J40" t="s">
        <v>2637</v>
      </c>
      <c r="K40" t="s">
        <v>2638</v>
      </c>
      <c r="L40" t="s">
        <v>2639</v>
      </c>
      <c r="M40" t="s">
        <v>2640</v>
      </c>
      <c r="N40" t="s">
        <v>1923</v>
      </c>
      <c r="O40" t="s">
        <v>984</v>
      </c>
      <c r="P40" t="s">
        <v>2641</v>
      </c>
      <c r="Q40" t="s">
        <v>2642</v>
      </c>
      <c r="R40" t="s">
        <v>2643</v>
      </c>
      <c r="S40" t="s">
        <v>2644</v>
      </c>
      <c r="T40" t="s">
        <v>2645</v>
      </c>
      <c r="U40" t="s">
        <v>2646</v>
      </c>
      <c r="V40" t="s">
        <v>251</v>
      </c>
    </row>
    <row r="41" spans="1:22" x14ac:dyDescent="0.3">
      <c r="A41" t="s">
        <v>838</v>
      </c>
      <c r="B41" t="s">
        <v>2246</v>
      </c>
      <c r="C41" t="s">
        <v>2247</v>
      </c>
      <c r="D41" t="s">
        <v>2248</v>
      </c>
      <c r="E41" t="s">
        <v>2249</v>
      </c>
      <c r="F41" t="s">
        <v>2250</v>
      </c>
      <c r="G41" t="s">
        <v>2251</v>
      </c>
      <c r="H41" t="s">
        <v>2252</v>
      </c>
      <c r="I41" t="s">
        <v>2253</v>
      </c>
      <c r="J41" t="s">
        <v>2254</v>
      </c>
      <c r="K41" t="s">
        <v>2255</v>
      </c>
      <c r="L41" t="s">
        <v>2256</v>
      </c>
      <c r="M41" t="s">
        <v>2257</v>
      </c>
      <c r="N41" t="s">
        <v>2258</v>
      </c>
      <c r="O41" t="s">
        <v>2259</v>
      </c>
      <c r="P41" t="s">
        <v>2260</v>
      </c>
      <c r="Q41" t="s">
        <v>2261</v>
      </c>
      <c r="R41" t="s">
        <v>2262</v>
      </c>
      <c r="S41" t="s">
        <v>2263</v>
      </c>
      <c r="T41" t="s">
        <v>2264</v>
      </c>
      <c r="U41" t="s">
        <v>2265</v>
      </c>
      <c r="V41" t="s">
        <v>251</v>
      </c>
    </row>
    <row r="42" spans="1:22" x14ac:dyDescent="0.3">
      <c r="A42" t="s">
        <v>839</v>
      </c>
      <c r="B42" t="s">
        <v>2535</v>
      </c>
      <c r="C42" t="s">
        <v>2536</v>
      </c>
      <c r="D42" t="s">
        <v>2537</v>
      </c>
      <c r="E42" t="s">
        <v>2538</v>
      </c>
      <c r="F42" t="s">
        <v>2539</v>
      </c>
      <c r="G42" t="s">
        <v>2540</v>
      </c>
      <c r="H42" t="s">
        <v>2541</v>
      </c>
      <c r="I42" t="s">
        <v>2542</v>
      </c>
      <c r="J42" t="s">
        <v>2543</v>
      </c>
      <c r="K42" t="s">
        <v>2544</v>
      </c>
      <c r="L42" t="s">
        <v>2545</v>
      </c>
      <c r="M42" t="s">
        <v>2546</v>
      </c>
      <c r="N42" t="s">
        <v>2547</v>
      </c>
      <c r="O42" t="s">
        <v>2079</v>
      </c>
      <c r="P42" t="s">
        <v>2548</v>
      </c>
      <c r="Q42" t="s">
        <v>2548</v>
      </c>
      <c r="R42" t="s">
        <v>2549</v>
      </c>
      <c r="S42" t="s">
        <v>2550</v>
      </c>
      <c r="T42" t="s">
        <v>2551</v>
      </c>
      <c r="U42" t="s">
        <v>2552</v>
      </c>
      <c r="V42" t="s">
        <v>251</v>
      </c>
    </row>
    <row r="43" spans="1:22" x14ac:dyDescent="0.3">
      <c r="A43" t="s">
        <v>840</v>
      </c>
      <c r="B43" t="s">
        <v>2647</v>
      </c>
      <c r="C43" t="s">
        <v>2648</v>
      </c>
      <c r="D43" t="s">
        <v>2649</v>
      </c>
      <c r="E43" t="s">
        <v>2650</v>
      </c>
      <c r="F43" t="s">
        <v>1622</v>
      </c>
      <c r="G43" t="s">
        <v>2651</v>
      </c>
      <c r="H43" t="s">
        <v>1092</v>
      </c>
      <c r="I43" t="s">
        <v>1077</v>
      </c>
      <c r="J43" t="s">
        <v>2652</v>
      </c>
      <c r="K43" t="s">
        <v>2653</v>
      </c>
      <c r="L43" t="s">
        <v>2654</v>
      </c>
      <c r="M43" t="s">
        <v>436</v>
      </c>
      <c r="N43" t="s">
        <v>436</v>
      </c>
      <c r="O43" t="s">
        <v>436</v>
      </c>
      <c r="P43" t="s">
        <v>2655</v>
      </c>
      <c r="Q43" t="s">
        <v>436</v>
      </c>
      <c r="R43" t="s">
        <v>2656</v>
      </c>
      <c r="S43" t="s">
        <v>935</v>
      </c>
      <c r="T43" t="s">
        <v>2657</v>
      </c>
      <c r="U43" t="s">
        <v>2658</v>
      </c>
      <c r="V43" t="s">
        <v>251</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04C64-2041-4ADA-8FA1-BA7531C2F09F}">
  <dimension ref="A1:V45"/>
  <sheetViews>
    <sheetView workbookViewId="0"/>
  </sheetViews>
  <sheetFormatPr defaultRowHeight="14.4" x14ac:dyDescent="0.3"/>
  <cols>
    <col min="1" max="1" width="37.77734375" bestFit="1" customWidth="1"/>
    <col min="2" max="2" width="18.77734375" bestFit="1" customWidth="1"/>
    <col min="3" max="3" width="18" bestFit="1" customWidth="1"/>
    <col min="4" max="4" width="19" bestFit="1" customWidth="1"/>
    <col min="5" max="6" width="18.77734375" bestFit="1" customWidth="1"/>
    <col min="7" max="7" width="18" bestFit="1" customWidth="1"/>
    <col min="8" max="8" width="19" bestFit="1" customWidth="1"/>
    <col min="9" max="10" width="18.77734375" bestFit="1" customWidth="1"/>
    <col min="11" max="11" width="18" bestFit="1" customWidth="1"/>
    <col min="12" max="12" width="19" bestFit="1" customWidth="1"/>
    <col min="13" max="14" width="18.77734375" bestFit="1" customWidth="1"/>
    <col min="15" max="15" width="18" bestFit="1" customWidth="1"/>
    <col min="16" max="16" width="19" bestFit="1" customWidth="1"/>
    <col min="17" max="18" width="18.77734375" bestFit="1" customWidth="1"/>
    <col min="19" max="19" width="18" bestFit="1" customWidth="1"/>
    <col min="20" max="20" width="19" bestFit="1" customWidth="1"/>
    <col min="21" max="21" width="18.77734375" bestFit="1" customWidth="1"/>
    <col min="22" max="22" width="12.21875" bestFit="1" customWidth="1"/>
  </cols>
  <sheetData>
    <row r="1" spans="1:22" x14ac:dyDescent="0.3">
      <c r="A1" t="s">
        <v>165</v>
      </c>
      <c r="B1" t="s">
        <v>166</v>
      </c>
      <c r="C1" t="s">
        <v>167</v>
      </c>
      <c r="D1" t="s">
        <v>168</v>
      </c>
      <c r="E1" t="s">
        <v>169</v>
      </c>
      <c r="F1" t="s">
        <v>170</v>
      </c>
      <c r="G1" t="s">
        <v>171</v>
      </c>
      <c r="H1" t="s">
        <v>172</v>
      </c>
      <c r="I1" t="s">
        <v>173</v>
      </c>
      <c r="J1" t="s">
        <v>174</v>
      </c>
      <c r="K1" t="s">
        <v>175</v>
      </c>
      <c r="L1" t="s">
        <v>176</v>
      </c>
      <c r="M1" t="s">
        <v>177</v>
      </c>
      <c r="N1" t="s">
        <v>178</v>
      </c>
      <c r="O1" t="s">
        <v>179</v>
      </c>
      <c r="P1" t="s">
        <v>180</v>
      </c>
      <c r="Q1" t="s">
        <v>181</v>
      </c>
      <c r="R1" t="s">
        <v>182</v>
      </c>
      <c r="S1" t="s">
        <v>183</v>
      </c>
      <c r="T1" t="s">
        <v>184</v>
      </c>
      <c r="U1" t="s">
        <v>185</v>
      </c>
      <c r="V1" t="s">
        <v>186</v>
      </c>
    </row>
    <row r="2" spans="1:22" x14ac:dyDescent="0.3">
      <c r="A2" t="s">
        <v>187</v>
      </c>
      <c r="B2" t="s">
        <v>192</v>
      </c>
      <c r="C2" t="s">
        <v>193</v>
      </c>
      <c r="D2" t="s">
        <v>194</v>
      </c>
      <c r="E2" t="s">
        <v>195</v>
      </c>
      <c r="F2" t="s">
        <v>196</v>
      </c>
      <c r="G2" t="s">
        <v>197</v>
      </c>
      <c r="H2" t="s">
        <v>198</v>
      </c>
      <c r="I2" t="s">
        <v>199</v>
      </c>
      <c r="J2" t="s">
        <v>200</v>
      </c>
      <c r="K2" t="s">
        <v>201</v>
      </c>
      <c r="L2" t="s">
        <v>202</v>
      </c>
      <c r="M2" t="s">
        <v>203</v>
      </c>
      <c r="N2" t="s">
        <v>204</v>
      </c>
      <c r="O2" t="s">
        <v>205</v>
      </c>
      <c r="P2" t="s">
        <v>206</v>
      </c>
      <c r="Q2" t="s">
        <v>207</v>
      </c>
      <c r="R2" t="s">
        <v>848</v>
      </c>
      <c r="S2" t="s">
        <v>849</v>
      </c>
      <c r="T2" t="s">
        <v>850</v>
      </c>
      <c r="U2" t="s">
        <v>851</v>
      </c>
      <c r="V2" t="s">
        <v>852</v>
      </c>
    </row>
    <row r="3" spans="1:22" x14ac:dyDescent="0.3">
      <c r="A3" t="s">
        <v>209</v>
      </c>
      <c r="B3" t="s">
        <v>853</v>
      </c>
      <c r="C3" t="s">
        <v>854</v>
      </c>
      <c r="D3" t="s">
        <v>855</v>
      </c>
      <c r="E3" t="s">
        <v>856</v>
      </c>
      <c r="F3" t="s">
        <v>857</v>
      </c>
      <c r="G3" t="s">
        <v>858</v>
      </c>
      <c r="H3" t="s">
        <v>859</v>
      </c>
      <c r="I3" t="s">
        <v>860</v>
      </c>
      <c r="J3" t="s">
        <v>861</v>
      </c>
      <c r="K3" t="s">
        <v>862</v>
      </c>
      <c r="L3" t="s">
        <v>863</v>
      </c>
      <c r="M3" t="s">
        <v>864</v>
      </c>
      <c r="N3" t="s">
        <v>865</v>
      </c>
      <c r="O3" t="s">
        <v>866</v>
      </c>
      <c r="P3" t="s">
        <v>867</v>
      </c>
      <c r="Q3" t="s">
        <v>868</v>
      </c>
      <c r="R3" t="s">
        <v>869</v>
      </c>
      <c r="S3" t="s">
        <v>870</v>
      </c>
      <c r="T3" t="s">
        <v>871</v>
      </c>
      <c r="U3" t="s">
        <v>872</v>
      </c>
      <c r="V3" t="s">
        <v>852</v>
      </c>
    </row>
    <row r="4" spans="1:22" x14ac:dyDescent="0.3">
      <c r="A4" t="s">
        <v>230</v>
      </c>
      <c r="B4" t="s">
        <v>2660</v>
      </c>
      <c r="C4" t="s">
        <v>2661</v>
      </c>
      <c r="D4" t="s">
        <v>2662</v>
      </c>
      <c r="E4" t="s">
        <v>2663</v>
      </c>
      <c r="F4" t="s">
        <v>2664</v>
      </c>
      <c r="G4" t="s">
        <v>2665</v>
      </c>
      <c r="H4" t="s">
        <v>2666</v>
      </c>
      <c r="I4" t="s">
        <v>2667</v>
      </c>
      <c r="J4" t="s">
        <v>2668</v>
      </c>
      <c r="K4" t="s">
        <v>2669</v>
      </c>
      <c r="L4" t="s">
        <v>2670</v>
      </c>
      <c r="M4" t="s">
        <v>2671</v>
      </c>
      <c r="N4" t="s">
        <v>2672</v>
      </c>
      <c r="O4" t="s">
        <v>2673</v>
      </c>
      <c r="P4" t="s">
        <v>2674</v>
      </c>
      <c r="Q4" t="s">
        <v>2675</v>
      </c>
      <c r="R4" t="s">
        <v>2676</v>
      </c>
      <c r="S4" t="s">
        <v>2677</v>
      </c>
      <c r="T4" t="s">
        <v>2678</v>
      </c>
      <c r="U4" t="s">
        <v>2679</v>
      </c>
      <c r="V4" t="s">
        <v>251</v>
      </c>
    </row>
    <row r="5" spans="1:22" x14ac:dyDescent="0.3">
      <c r="A5" t="s">
        <v>252</v>
      </c>
      <c r="B5" t="s">
        <v>2680</v>
      </c>
      <c r="C5" t="s">
        <v>2681</v>
      </c>
      <c r="D5" t="s">
        <v>2682</v>
      </c>
      <c r="E5" t="s">
        <v>2683</v>
      </c>
      <c r="F5" t="s">
        <v>2684</v>
      </c>
      <c r="G5" t="s">
        <v>2685</v>
      </c>
      <c r="H5" t="s">
        <v>2686</v>
      </c>
      <c r="I5" t="s">
        <v>2687</v>
      </c>
      <c r="J5" t="s">
        <v>2688</v>
      </c>
      <c r="K5" t="s">
        <v>2689</v>
      </c>
      <c r="L5" t="s">
        <v>2690</v>
      </c>
      <c r="M5" t="s">
        <v>2691</v>
      </c>
      <c r="N5" t="s">
        <v>2692</v>
      </c>
      <c r="O5" t="s">
        <v>2693</v>
      </c>
      <c r="P5" t="s">
        <v>2694</v>
      </c>
      <c r="Q5" t="s">
        <v>2695</v>
      </c>
      <c r="R5" t="s">
        <v>2696</v>
      </c>
      <c r="S5" t="s">
        <v>2697</v>
      </c>
      <c r="T5" t="s">
        <v>2698</v>
      </c>
      <c r="U5" t="s">
        <v>2699</v>
      </c>
      <c r="V5" t="s">
        <v>251</v>
      </c>
    </row>
    <row r="6" spans="1:22" x14ac:dyDescent="0.3">
      <c r="A6" t="s">
        <v>273</v>
      </c>
      <c r="B6" t="s">
        <v>2700</v>
      </c>
      <c r="C6" t="s">
        <v>2701</v>
      </c>
      <c r="D6" t="s">
        <v>2702</v>
      </c>
      <c r="E6" t="s">
        <v>2703</v>
      </c>
      <c r="F6" t="s">
        <v>2704</v>
      </c>
      <c r="G6" t="s">
        <v>2705</v>
      </c>
      <c r="H6" t="s">
        <v>2706</v>
      </c>
      <c r="I6" t="s">
        <v>2707</v>
      </c>
      <c r="J6" t="s">
        <v>2708</v>
      </c>
      <c r="K6" t="s">
        <v>2709</v>
      </c>
      <c r="L6" t="s">
        <v>2710</v>
      </c>
      <c r="M6" t="s">
        <v>2711</v>
      </c>
      <c r="N6" t="s">
        <v>2712</v>
      </c>
      <c r="O6" t="s">
        <v>2713</v>
      </c>
      <c r="P6" t="s">
        <v>2714</v>
      </c>
      <c r="Q6" t="s">
        <v>2715</v>
      </c>
      <c r="R6" t="s">
        <v>2716</v>
      </c>
      <c r="S6" t="s">
        <v>2717</v>
      </c>
      <c r="T6" t="s">
        <v>2718</v>
      </c>
      <c r="U6" t="s">
        <v>2719</v>
      </c>
      <c r="V6" t="s">
        <v>251</v>
      </c>
    </row>
    <row r="7" spans="1:22" x14ac:dyDescent="0.3">
      <c r="A7" t="s">
        <v>294</v>
      </c>
      <c r="B7" t="s">
        <v>2720</v>
      </c>
      <c r="C7" t="s">
        <v>2721</v>
      </c>
      <c r="D7" t="s">
        <v>2722</v>
      </c>
      <c r="E7" t="s">
        <v>2723</v>
      </c>
      <c r="F7" t="s">
        <v>2724</v>
      </c>
      <c r="G7" t="s">
        <v>2725</v>
      </c>
      <c r="H7" t="s">
        <v>2726</v>
      </c>
      <c r="I7" t="s">
        <v>2727</v>
      </c>
      <c r="J7" t="s">
        <v>2728</v>
      </c>
      <c r="K7" t="s">
        <v>2729</v>
      </c>
      <c r="L7" t="s">
        <v>2730</v>
      </c>
      <c r="M7" t="s">
        <v>2731</v>
      </c>
      <c r="N7" t="s">
        <v>2732</v>
      </c>
      <c r="O7" t="s">
        <v>2733</v>
      </c>
      <c r="P7" t="s">
        <v>2734</v>
      </c>
      <c r="Q7" t="s">
        <v>2735</v>
      </c>
      <c r="R7" t="s">
        <v>2736</v>
      </c>
      <c r="S7" t="s">
        <v>2737</v>
      </c>
      <c r="T7" t="s">
        <v>2738</v>
      </c>
      <c r="U7" t="s">
        <v>2739</v>
      </c>
      <c r="V7" t="s">
        <v>251</v>
      </c>
    </row>
    <row r="8" spans="1:22" x14ac:dyDescent="0.3">
      <c r="A8" t="s">
        <v>315</v>
      </c>
      <c r="B8" t="s">
        <v>2740</v>
      </c>
      <c r="C8" t="s">
        <v>2741</v>
      </c>
      <c r="D8" t="s">
        <v>2742</v>
      </c>
      <c r="E8" t="s">
        <v>2743</v>
      </c>
      <c r="F8" t="s">
        <v>883</v>
      </c>
      <c r="G8" t="s">
        <v>2744</v>
      </c>
      <c r="H8" t="s">
        <v>2745</v>
      </c>
      <c r="I8" t="s">
        <v>2746</v>
      </c>
      <c r="J8" t="s">
        <v>2747</v>
      </c>
      <c r="K8" t="s">
        <v>2748</v>
      </c>
      <c r="L8" t="s">
        <v>2749</v>
      </c>
      <c r="M8" t="s">
        <v>2750</v>
      </c>
      <c r="N8" t="s">
        <v>2751</v>
      </c>
      <c r="O8" t="s">
        <v>2752</v>
      </c>
      <c r="P8" t="s">
        <v>2753</v>
      </c>
      <c r="Q8" t="s">
        <v>2754</v>
      </c>
      <c r="R8" t="s">
        <v>2755</v>
      </c>
      <c r="S8" t="s">
        <v>2756</v>
      </c>
      <c r="T8" t="s">
        <v>2757</v>
      </c>
      <c r="U8" t="s">
        <v>2758</v>
      </c>
      <c r="V8" t="s">
        <v>251</v>
      </c>
    </row>
    <row r="9" spans="1:22" x14ac:dyDescent="0.3">
      <c r="A9" t="s">
        <v>336</v>
      </c>
      <c r="B9" t="s">
        <v>2759</v>
      </c>
      <c r="C9" t="s">
        <v>2760</v>
      </c>
      <c r="D9" t="s">
        <v>2761</v>
      </c>
      <c r="E9" t="s">
        <v>2762</v>
      </c>
      <c r="F9" t="s">
        <v>2763</v>
      </c>
      <c r="G9" t="s">
        <v>2764</v>
      </c>
      <c r="H9" t="s">
        <v>2765</v>
      </c>
      <c r="I9" t="s">
        <v>2766</v>
      </c>
      <c r="J9" t="s">
        <v>2767</v>
      </c>
      <c r="K9" t="s">
        <v>2768</v>
      </c>
      <c r="L9" t="s">
        <v>2769</v>
      </c>
      <c r="M9" t="s">
        <v>2770</v>
      </c>
      <c r="N9" t="s">
        <v>1849</v>
      </c>
      <c r="O9" t="s">
        <v>2771</v>
      </c>
      <c r="P9" t="s">
        <v>2772</v>
      </c>
      <c r="Q9" t="s">
        <v>2773</v>
      </c>
      <c r="R9" t="s">
        <v>2774</v>
      </c>
      <c r="S9" t="s">
        <v>2775</v>
      </c>
      <c r="T9" t="s">
        <v>2776</v>
      </c>
      <c r="U9" t="s">
        <v>2777</v>
      </c>
      <c r="V9" t="s">
        <v>251</v>
      </c>
    </row>
    <row r="10" spans="1:22" x14ac:dyDescent="0.3">
      <c r="A10" t="s">
        <v>2778</v>
      </c>
      <c r="B10" t="s">
        <v>2779</v>
      </c>
      <c r="C10" t="s">
        <v>2780</v>
      </c>
      <c r="D10" t="s">
        <v>2781</v>
      </c>
      <c r="E10" t="s">
        <v>2782</v>
      </c>
      <c r="F10" t="s">
        <v>1934</v>
      </c>
      <c r="G10" t="s">
        <v>2783</v>
      </c>
      <c r="H10" t="s">
        <v>606</v>
      </c>
      <c r="I10" t="s">
        <v>2784</v>
      </c>
      <c r="J10" t="s">
        <v>595</v>
      </c>
      <c r="K10" t="s">
        <v>2785</v>
      </c>
      <c r="L10" t="s">
        <v>2786</v>
      </c>
      <c r="M10" t="s">
        <v>2284</v>
      </c>
      <c r="N10" t="s">
        <v>2787</v>
      </c>
      <c r="O10" t="s">
        <v>2788</v>
      </c>
      <c r="P10" t="s">
        <v>2789</v>
      </c>
      <c r="Q10" t="s">
        <v>2790</v>
      </c>
      <c r="R10" t="s">
        <v>2296</v>
      </c>
      <c r="S10" t="s">
        <v>2297</v>
      </c>
      <c r="T10" t="s">
        <v>2791</v>
      </c>
      <c r="U10" t="s">
        <v>2792</v>
      </c>
      <c r="V10" t="s">
        <v>251</v>
      </c>
    </row>
    <row r="11" spans="1:22" x14ac:dyDescent="0.3">
      <c r="A11" t="s">
        <v>357</v>
      </c>
      <c r="B11" t="s">
        <v>2793</v>
      </c>
      <c r="C11" t="s">
        <v>2794</v>
      </c>
      <c r="D11" t="s">
        <v>2795</v>
      </c>
      <c r="E11" t="s">
        <v>2796</v>
      </c>
      <c r="F11" t="s">
        <v>2797</v>
      </c>
      <c r="G11" t="s">
        <v>2798</v>
      </c>
      <c r="H11" t="s">
        <v>2799</v>
      </c>
      <c r="I11" t="s">
        <v>2800</v>
      </c>
      <c r="J11" t="s">
        <v>2801</v>
      </c>
      <c r="K11" t="s">
        <v>2802</v>
      </c>
      <c r="L11" t="s">
        <v>2803</v>
      </c>
      <c r="M11" t="s">
        <v>2804</v>
      </c>
      <c r="N11" t="s">
        <v>2805</v>
      </c>
      <c r="O11" t="s">
        <v>2806</v>
      </c>
      <c r="P11" t="s">
        <v>2807</v>
      </c>
      <c r="Q11" t="s">
        <v>2808</v>
      </c>
      <c r="R11" t="s">
        <v>2809</v>
      </c>
      <c r="S11" t="s">
        <v>2810</v>
      </c>
      <c r="T11" t="s">
        <v>2811</v>
      </c>
      <c r="U11" t="s">
        <v>2812</v>
      </c>
      <c r="V11" t="s">
        <v>251</v>
      </c>
    </row>
    <row r="12" spans="1:22" x14ac:dyDescent="0.3">
      <c r="A12" t="s">
        <v>378</v>
      </c>
      <c r="B12" t="s">
        <v>2813</v>
      </c>
      <c r="C12" t="s">
        <v>2814</v>
      </c>
      <c r="D12" t="s">
        <v>2815</v>
      </c>
      <c r="E12" t="s">
        <v>2816</v>
      </c>
      <c r="F12" t="s">
        <v>2817</v>
      </c>
      <c r="G12" t="s">
        <v>2818</v>
      </c>
      <c r="H12" t="s">
        <v>2819</v>
      </c>
      <c r="I12" t="s">
        <v>2820</v>
      </c>
      <c r="J12" t="s">
        <v>2821</v>
      </c>
      <c r="K12" t="s">
        <v>2822</v>
      </c>
      <c r="L12" t="s">
        <v>2823</v>
      </c>
      <c r="M12" t="s">
        <v>2824</v>
      </c>
      <c r="N12" t="s">
        <v>2825</v>
      </c>
      <c r="O12" t="s">
        <v>2826</v>
      </c>
      <c r="P12" t="s">
        <v>2827</v>
      </c>
      <c r="Q12" t="s">
        <v>2828</v>
      </c>
      <c r="R12" t="s">
        <v>2829</v>
      </c>
      <c r="S12" t="s">
        <v>2830</v>
      </c>
      <c r="T12" t="s">
        <v>2831</v>
      </c>
      <c r="U12" t="s">
        <v>2832</v>
      </c>
      <c r="V12" t="s">
        <v>251</v>
      </c>
    </row>
    <row r="13" spans="1:22" x14ac:dyDescent="0.3">
      <c r="A13" t="s">
        <v>399</v>
      </c>
      <c r="B13" t="s">
        <v>2833</v>
      </c>
      <c r="C13" t="s">
        <v>2834</v>
      </c>
      <c r="D13" t="s">
        <v>2835</v>
      </c>
      <c r="E13" t="s">
        <v>2836</v>
      </c>
      <c r="F13" t="s">
        <v>2837</v>
      </c>
      <c r="G13" t="s">
        <v>2838</v>
      </c>
      <c r="H13" t="s">
        <v>2839</v>
      </c>
      <c r="I13" t="s">
        <v>2840</v>
      </c>
      <c r="J13" t="s">
        <v>2841</v>
      </c>
      <c r="K13" t="s">
        <v>2842</v>
      </c>
      <c r="L13" t="s">
        <v>2843</v>
      </c>
      <c r="M13" t="s">
        <v>2844</v>
      </c>
      <c r="N13" t="s">
        <v>2845</v>
      </c>
      <c r="O13" t="s">
        <v>2846</v>
      </c>
      <c r="P13" t="s">
        <v>2847</v>
      </c>
      <c r="Q13" t="s">
        <v>2848</v>
      </c>
      <c r="R13" t="s">
        <v>2849</v>
      </c>
      <c r="S13" t="s">
        <v>2850</v>
      </c>
      <c r="T13" t="s">
        <v>2851</v>
      </c>
      <c r="U13" t="s">
        <v>2852</v>
      </c>
      <c r="V13" t="s">
        <v>251</v>
      </c>
    </row>
    <row r="14" spans="1:22" x14ac:dyDescent="0.3">
      <c r="A14" t="s">
        <v>418</v>
      </c>
      <c r="B14" t="s">
        <v>2853</v>
      </c>
      <c r="C14" t="s">
        <v>2854</v>
      </c>
      <c r="D14" t="s">
        <v>2855</v>
      </c>
      <c r="E14" t="s">
        <v>2856</v>
      </c>
      <c r="F14" t="s">
        <v>2257</v>
      </c>
      <c r="G14" t="s">
        <v>2857</v>
      </c>
      <c r="H14" t="s">
        <v>2858</v>
      </c>
      <c r="I14" t="s">
        <v>2859</v>
      </c>
      <c r="J14" t="s">
        <v>2860</v>
      </c>
      <c r="K14" t="s">
        <v>2861</v>
      </c>
      <c r="L14" t="s">
        <v>2631</v>
      </c>
      <c r="M14" t="s">
        <v>2862</v>
      </c>
      <c r="N14" t="s">
        <v>2863</v>
      </c>
      <c r="O14" t="s">
        <v>2864</v>
      </c>
      <c r="P14" t="s">
        <v>2865</v>
      </c>
      <c r="Q14" t="s">
        <v>2866</v>
      </c>
      <c r="R14" t="s">
        <v>1290</v>
      </c>
      <c r="S14" t="s">
        <v>2867</v>
      </c>
      <c r="T14" t="s">
        <v>2868</v>
      </c>
      <c r="U14" t="s">
        <v>1293</v>
      </c>
      <c r="V14" t="s">
        <v>251</v>
      </c>
    </row>
    <row r="15" spans="1:22" x14ac:dyDescent="0.3">
      <c r="A15" t="s">
        <v>2869</v>
      </c>
      <c r="B15" t="s">
        <v>1281</v>
      </c>
      <c r="C15" t="s">
        <v>2870</v>
      </c>
      <c r="D15" t="s">
        <v>2871</v>
      </c>
      <c r="E15" t="s">
        <v>1892</v>
      </c>
      <c r="F15" t="s">
        <v>1016</v>
      </c>
      <c r="G15" t="s">
        <v>2285</v>
      </c>
      <c r="H15" t="s">
        <v>2872</v>
      </c>
      <c r="I15" t="s">
        <v>436</v>
      </c>
      <c r="J15" t="s">
        <v>2300</v>
      </c>
      <c r="K15" t="s">
        <v>2295</v>
      </c>
      <c r="L15" t="s">
        <v>2871</v>
      </c>
      <c r="M15" t="s">
        <v>2368</v>
      </c>
      <c r="N15" t="s">
        <v>1016</v>
      </c>
      <c r="O15" t="s">
        <v>2873</v>
      </c>
      <c r="P15" t="s">
        <v>2293</v>
      </c>
      <c r="Q15" t="s">
        <v>2871</v>
      </c>
      <c r="R15" t="s">
        <v>2300</v>
      </c>
      <c r="S15" t="s">
        <v>2874</v>
      </c>
      <c r="T15" t="s">
        <v>2289</v>
      </c>
      <c r="U15" t="s">
        <v>2875</v>
      </c>
      <c r="V15" t="s">
        <v>251</v>
      </c>
    </row>
    <row r="16" spans="1:22" x14ac:dyDescent="0.3">
      <c r="A16" t="s">
        <v>437</v>
      </c>
      <c r="B16" t="s">
        <v>2871</v>
      </c>
      <c r="C16" t="s">
        <v>2876</v>
      </c>
      <c r="D16" t="s">
        <v>2877</v>
      </c>
      <c r="E16" t="s">
        <v>2878</v>
      </c>
      <c r="F16" t="s">
        <v>2879</v>
      </c>
      <c r="G16" t="s">
        <v>2365</v>
      </c>
      <c r="H16" t="s">
        <v>2880</v>
      </c>
      <c r="I16" t="s">
        <v>2881</v>
      </c>
      <c r="J16" t="s">
        <v>2882</v>
      </c>
      <c r="K16" t="s">
        <v>2284</v>
      </c>
      <c r="L16" t="s">
        <v>2876</v>
      </c>
      <c r="M16" t="s">
        <v>2883</v>
      </c>
      <c r="N16" t="s">
        <v>2884</v>
      </c>
      <c r="O16" t="s">
        <v>2885</v>
      </c>
      <c r="P16" t="s">
        <v>2298</v>
      </c>
      <c r="Q16" t="s">
        <v>2886</v>
      </c>
      <c r="R16" t="s">
        <v>2887</v>
      </c>
      <c r="S16" t="s">
        <v>2888</v>
      </c>
      <c r="T16" t="s">
        <v>2889</v>
      </c>
      <c r="U16" t="s">
        <v>2367</v>
      </c>
      <c r="V16" t="s">
        <v>251</v>
      </c>
    </row>
    <row r="17" spans="1:22" x14ac:dyDescent="0.3">
      <c r="A17" t="s">
        <v>439</v>
      </c>
      <c r="B17" t="s">
        <v>2295</v>
      </c>
      <c r="C17" t="s">
        <v>2877</v>
      </c>
      <c r="D17" t="s">
        <v>2890</v>
      </c>
      <c r="E17" t="s">
        <v>2891</v>
      </c>
      <c r="F17" t="s">
        <v>2295</v>
      </c>
      <c r="G17" t="s">
        <v>2892</v>
      </c>
      <c r="H17" t="s">
        <v>2893</v>
      </c>
      <c r="I17" t="s">
        <v>2894</v>
      </c>
      <c r="J17" t="s">
        <v>2895</v>
      </c>
      <c r="K17" t="s">
        <v>2896</v>
      </c>
      <c r="L17" t="s">
        <v>2897</v>
      </c>
      <c r="M17" t="s">
        <v>2898</v>
      </c>
      <c r="N17" t="s">
        <v>1028</v>
      </c>
      <c r="O17" t="s">
        <v>2899</v>
      </c>
      <c r="P17" t="s">
        <v>569</v>
      </c>
      <c r="Q17" t="s">
        <v>2900</v>
      </c>
      <c r="R17" t="s">
        <v>2901</v>
      </c>
      <c r="S17" t="s">
        <v>2790</v>
      </c>
      <c r="T17" t="s">
        <v>2790</v>
      </c>
      <c r="U17" t="s">
        <v>2902</v>
      </c>
      <c r="V17" t="s">
        <v>251</v>
      </c>
    </row>
    <row r="18" spans="1:22" x14ac:dyDescent="0.3">
      <c r="A18" t="s">
        <v>460</v>
      </c>
      <c r="B18" t="s">
        <v>2903</v>
      </c>
      <c r="C18" t="s">
        <v>2904</v>
      </c>
      <c r="D18" t="s">
        <v>2905</v>
      </c>
      <c r="E18" t="s">
        <v>2906</v>
      </c>
      <c r="F18" t="s">
        <v>2907</v>
      </c>
      <c r="G18" t="s">
        <v>2908</v>
      </c>
      <c r="H18" t="s">
        <v>2909</v>
      </c>
      <c r="I18" t="s">
        <v>2910</v>
      </c>
      <c r="J18" t="s">
        <v>2911</v>
      </c>
      <c r="K18" t="s">
        <v>2912</v>
      </c>
      <c r="L18" t="s">
        <v>2913</v>
      </c>
      <c r="M18" t="s">
        <v>2914</v>
      </c>
      <c r="N18" t="s">
        <v>2915</v>
      </c>
      <c r="O18" t="s">
        <v>2916</v>
      </c>
      <c r="P18" t="s">
        <v>2917</v>
      </c>
      <c r="Q18" t="s">
        <v>2918</v>
      </c>
      <c r="R18" t="s">
        <v>2919</v>
      </c>
      <c r="S18" t="s">
        <v>2920</v>
      </c>
      <c r="T18" t="s">
        <v>2921</v>
      </c>
      <c r="U18" t="s">
        <v>2922</v>
      </c>
      <c r="V18" t="s">
        <v>251</v>
      </c>
    </row>
    <row r="19" spans="1:22" x14ac:dyDescent="0.3">
      <c r="A19" t="s">
        <v>485</v>
      </c>
      <c r="B19" t="s">
        <v>2923</v>
      </c>
      <c r="C19" t="s">
        <v>2924</v>
      </c>
      <c r="D19" t="s">
        <v>2925</v>
      </c>
      <c r="E19" t="s">
        <v>2926</v>
      </c>
      <c r="F19" t="s">
        <v>2900</v>
      </c>
      <c r="G19" t="s">
        <v>2366</v>
      </c>
      <c r="H19" t="s">
        <v>2927</v>
      </c>
      <c r="I19" t="s">
        <v>2928</v>
      </c>
      <c r="J19" t="s">
        <v>2929</v>
      </c>
      <c r="K19" t="s">
        <v>2930</v>
      </c>
      <c r="L19" t="s">
        <v>1020</v>
      </c>
      <c r="M19" t="s">
        <v>2931</v>
      </c>
      <c r="N19" t="s">
        <v>2932</v>
      </c>
      <c r="O19" t="s">
        <v>2933</v>
      </c>
      <c r="P19" t="s">
        <v>2934</v>
      </c>
      <c r="Q19" t="s">
        <v>2935</v>
      </c>
      <c r="R19" t="s">
        <v>2329</v>
      </c>
      <c r="S19" t="s">
        <v>2936</v>
      </c>
      <c r="T19" t="s">
        <v>2937</v>
      </c>
      <c r="U19" t="s">
        <v>1727</v>
      </c>
      <c r="V19" t="s">
        <v>251</v>
      </c>
    </row>
    <row r="20" spans="1:22" x14ac:dyDescent="0.3">
      <c r="A20" t="s">
        <v>2938</v>
      </c>
      <c r="B20" t="s">
        <v>436</v>
      </c>
      <c r="C20" t="s">
        <v>436</v>
      </c>
      <c r="D20" t="s">
        <v>436</v>
      </c>
      <c r="E20" t="s">
        <v>436</v>
      </c>
      <c r="F20" t="s">
        <v>436</v>
      </c>
      <c r="G20" t="s">
        <v>436</v>
      </c>
      <c r="H20" t="s">
        <v>436</v>
      </c>
      <c r="I20" t="s">
        <v>436</v>
      </c>
      <c r="J20" t="s">
        <v>436</v>
      </c>
      <c r="K20" t="s">
        <v>436</v>
      </c>
      <c r="L20" t="s">
        <v>436</v>
      </c>
      <c r="M20" t="s">
        <v>2939</v>
      </c>
      <c r="N20" t="s">
        <v>436</v>
      </c>
      <c r="O20" t="s">
        <v>436</v>
      </c>
      <c r="P20" t="s">
        <v>2940</v>
      </c>
      <c r="Q20" t="s">
        <v>436</v>
      </c>
      <c r="R20" t="s">
        <v>436</v>
      </c>
      <c r="S20" t="s">
        <v>436</v>
      </c>
      <c r="T20" t="s">
        <v>436</v>
      </c>
      <c r="U20" t="s">
        <v>436</v>
      </c>
      <c r="V20" t="s">
        <v>251</v>
      </c>
    </row>
    <row r="21" spans="1:22" x14ac:dyDescent="0.3">
      <c r="A21" t="s">
        <v>497</v>
      </c>
      <c r="B21" t="s">
        <v>2941</v>
      </c>
      <c r="C21" t="s">
        <v>436</v>
      </c>
      <c r="D21" t="s">
        <v>436</v>
      </c>
      <c r="E21" t="s">
        <v>436</v>
      </c>
      <c r="F21" t="s">
        <v>436</v>
      </c>
      <c r="G21" t="s">
        <v>436</v>
      </c>
      <c r="H21" t="s">
        <v>436</v>
      </c>
      <c r="I21" t="s">
        <v>436</v>
      </c>
      <c r="J21" t="s">
        <v>436</v>
      </c>
      <c r="K21" t="s">
        <v>436</v>
      </c>
      <c r="L21" t="s">
        <v>436</v>
      </c>
      <c r="M21" t="s">
        <v>436</v>
      </c>
      <c r="N21" t="s">
        <v>436</v>
      </c>
      <c r="O21" t="s">
        <v>436</v>
      </c>
      <c r="P21" t="s">
        <v>436</v>
      </c>
      <c r="Q21" t="s">
        <v>436</v>
      </c>
      <c r="R21" t="s">
        <v>436</v>
      </c>
      <c r="S21" t="s">
        <v>436</v>
      </c>
      <c r="T21" t="s">
        <v>436</v>
      </c>
      <c r="U21" t="s">
        <v>436</v>
      </c>
      <c r="V21" t="s">
        <v>251</v>
      </c>
    </row>
    <row r="22" spans="1:22" x14ac:dyDescent="0.3">
      <c r="A22" t="s">
        <v>499</v>
      </c>
      <c r="B22" t="s">
        <v>2942</v>
      </c>
      <c r="C22" t="s">
        <v>2943</v>
      </c>
      <c r="D22" t="s">
        <v>2944</v>
      </c>
      <c r="E22" t="s">
        <v>2945</v>
      </c>
      <c r="F22" t="s">
        <v>2946</v>
      </c>
      <c r="G22" t="s">
        <v>2947</v>
      </c>
      <c r="H22" t="s">
        <v>1337</v>
      </c>
      <c r="I22" t="s">
        <v>2948</v>
      </c>
      <c r="J22" t="s">
        <v>2949</v>
      </c>
      <c r="K22" t="s">
        <v>2950</v>
      </c>
      <c r="L22" t="s">
        <v>2951</v>
      </c>
      <c r="M22" t="s">
        <v>2952</v>
      </c>
      <c r="N22" t="s">
        <v>2953</v>
      </c>
      <c r="O22" t="s">
        <v>2954</v>
      </c>
      <c r="P22" t="s">
        <v>2955</v>
      </c>
      <c r="Q22" t="s">
        <v>2956</v>
      </c>
      <c r="R22" t="s">
        <v>2957</v>
      </c>
      <c r="S22" t="s">
        <v>2958</v>
      </c>
      <c r="T22" t="s">
        <v>2959</v>
      </c>
      <c r="U22" t="s">
        <v>2960</v>
      </c>
      <c r="V22" t="s">
        <v>251</v>
      </c>
    </row>
    <row r="23" spans="1:22" x14ac:dyDescent="0.3">
      <c r="A23" t="s">
        <v>513</v>
      </c>
      <c r="B23" t="s">
        <v>1000</v>
      </c>
      <c r="C23" t="s">
        <v>2961</v>
      </c>
      <c r="D23" t="s">
        <v>2962</v>
      </c>
      <c r="E23" t="s">
        <v>2963</v>
      </c>
      <c r="F23" t="s">
        <v>2964</v>
      </c>
      <c r="G23" t="s">
        <v>2965</v>
      </c>
      <c r="H23" t="s">
        <v>2966</v>
      </c>
      <c r="I23" t="s">
        <v>2967</v>
      </c>
      <c r="J23" t="s">
        <v>2968</v>
      </c>
      <c r="K23" t="s">
        <v>2969</v>
      </c>
      <c r="L23" t="s">
        <v>2970</v>
      </c>
      <c r="M23" t="s">
        <v>2971</v>
      </c>
      <c r="N23" t="s">
        <v>2325</v>
      </c>
      <c r="O23" t="s">
        <v>2972</v>
      </c>
      <c r="P23" t="s">
        <v>2973</v>
      </c>
      <c r="Q23" t="s">
        <v>2974</v>
      </c>
      <c r="R23" t="s">
        <v>2975</v>
      </c>
      <c r="S23" t="s">
        <v>2976</v>
      </c>
      <c r="T23" t="s">
        <v>2977</v>
      </c>
      <c r="U23" t="s">
        <v>2978</v>
      </c>
      <c r="V23" t="s">
        <v>251</v>
      </c>
    </row>
    <row r="24" spans="1:22" x14ac:dyDescent="0.3">
      <c r="A24" t="s">
        <v>568</v>
      </c>
      <c r="B24" t="s">
        <v>2979</v>
      </c>
      <c r="C24" t="s">
        <v>2980</v>
      </c>
      <c r="D24" t="s">
        <v>2981</v>
      </c>
      <c r="E24" t="s">
        <v>2982</v>
      </c>
      <c r="F24" t="s">
        <v>2983</v>
      </c>
      <c r="G24" t="s">
        <v>2984</v>
      </c>
      <c r="H24" t="s">
        <v>2985</v>
      </c>
      <c r="I24" t="s">
        <v>2986</v>
      </c>
      <c r="J24" t="s">
        <v>2987</v>
      </c>
      <c r="K24" t="s">
        <v>2988</v>
      </c>
      <c r="L24" t="s">
        <v>2989</v>
      </c>
      <c r="M24" t="s">
        <v>974</v>
      </c>
      <c r="N24" t="s">
        <v>2990</v>
      </c>
      <c r="O24" t="s">
        <v>2991</v>
      </c>
      <c r="P24" t="s">
        <v>2992</v>
      </c>
      <c r="Q24" t="s">
        <v>2993</v>
      </c>
      <c r="R24" t="s">
        <v>2188</v>
      </c>
      <c r="S24" t="s">
        <v>2994</v>
      </c>
      <c r="T24" t="s">
        <v>2995</v>
      </c>
      <c r="U24" t="s">
        <v>2996</v>
      </c>
      <c r="V24" t="s">
        <v>251</v>
      </c>
    </row>
    <row r="25" spans="1:22" x14ac:dyDescent="0.3">
      <c r="A25" t="s">
        <v>585</v>
      </c>
      <c r="B25" t="s">
        <v>2979</v>
      </c>
      <c r="C25" t="s">
        <v>2980</v>
      </c>
      <c r="D25" t="s">
        <v>2981</v>
      </c>
      <c r="E25" t="s">
        <v>2982</v>
      </c>
      <c r="F25" t="s">
        <v>2983</v>
      </c>
      <c r="G25" t="s">
        <v>2984</v>
      </c>
      <c r="H25" t="s">
        <v>2985</v>
      </c>
      <c r="I25" t="s">
        <v>2986</v>
      </c>
      <c r="J25" t="s">
        <v>2987</v>
      </c>
      <c r="K25" t="s">
        <v>2988</v>
      </c>
      <c r="L25" t="s">
        <v>2989</v>
      </c>
      <c r="M25" t="s">
        <v>974</v>
      </c>
      <c r="N25" t="s">
        <v>2990</v>
      </c>
      <c r="O25" t="s">
        <v>2991</v>
      </c>
      <c r="P25" t="s">
        <v>2992</v>
      </c>
      <c r="Q25" t="s">
        <v>2993</v>
      </c>
      <c r="R25" t="s">
        <v>2188</v>
      </c>
      <c r="S25" t="s">
        <v>2994</v>
      </c>
      <c r="T25" t="s">
        <v>2995</v>
      </c>
      <c r="U25" t="s">
        <v>2996</v>
      </c>
      <c r="V25" t="s">
        <v>251</v>
      </c>
    </row>
    <row r="26" spans="1:22" x14ac:dyDescent="0.3">
      <c r="A26" t="s">
        <v>586</v>
      </c>
      <c r="B26" t="s">
        <v>2997</v>
      </c>
      <c r="C26" t="s">
        <v>2998</v>
      </c>
      <c r="D26" t="s">
        <v>2999</v>
      </c>
      <c r="E26" t="s">
        <v>3000</v>
      </c>
      <c r="F26" t="s">
        <v>3001</v>
      </c>
      <c r="G26" t="s">
        <v>3002</v>
      </c>
      <c r="H26" t="s">
        <v>3003</v>
      </c>
      <c r="I26" t="s">
        <v>3004</v>
      </c>
      <c r="J26" t="s">
        <v>3005</v>
      </c>
      <c r="K26" t="s">
        <v>436</v>
      </c>
      <c r="L26" t="s">
        <v>436</v>
      </c>
      <c r="M26" t="s">
        <v>3006</v>
      </c>
      <c r="N26" t="s">
        <v>3007</v>
      </c>
      <c r="O26" t="s">
        <v>436</v>
      </c>
      <c r="P26" t="s">
        <v>436</v>
      </c>
      <c r="Q26" t="s">
        <v>3008</v>
      </c>
      <c r="R26" t="s">
        <v>3009</v>
      </c>
      <c r="S26" t="s">
        <v>3010</v>
      </c>
      <c r="T26" t="s">
        <v>3011</v>
      </c>
      <c r="U26" t="s">
        <v>3012</v>
      </c>
      <c r="V26" t="s">
        <v>251</v>
      </c>
    </row>
    <row r="27" spans="1:22" x14ac:dyDescent="0.3">
      <c r="A27" t="s">
        <v>589</v>
      </c>
      <c r="B27" t="s">
        <v>3013</v>
      </c>
      <c r="C27" t="s">
        <v>3014</v>
      </c>
      <c r="D27" t="s">
        <v>3015</v>
      </c>
      <c r="E27" t="s">
        <v>3016</v>
      </c>
      <c r="F27" t="s">
        <v>3017</v>
      </c>
      <c r="G27" t="s">
        <v>3018</v>
      </c>
      <c r="H27" t="s">
        <v>3019</v>
      </c>
      <c r="I27" t="s">
        <v>3020</v>
      </c>
      <c r="J27" t="s">
        <v>3021</v>
      </c>
      <c r="K27" t="s">
        <v>3022</v>
      </c>
      <c r="L27" t="s">
        <v>3023</v>
      </c>
      <c r="M27" t="s">
        <v>3024</v>
      </c>
      <c r="N27" t="s">
        <v>3025</v>
      </c>
      <c r="O27" t="s">
        <v>3026</v>
      </c>
      <c r="P27" t="s">
        <v>3027</v>
      </c>
      <c r="Q27" t="s">
        <v>3028</v>
      </c>
      <c r="R27" t="s">
        <v>3029</v>
      </c>
      <c r="S27" t="s">
        <v>3030</v>
      </c>
      <c r="T27" t="s">
        <v>3031</v>
      </c>
      <c r="U27" t="s">
        <v>3032</v>
      </c>
      <c r="V27" t="s">
        <v>251</v>
      </c>
    </row>
    <row r="28" spans="1:22" x14ac:dyDescent="0.3">
      <c r="A28" t="s">
        <v>610</v>
      </c>
      <c r="B28" t="s">
        <v>3033</v>
      </c>
      <c r="C28" t="s">
        <v>1182</v>
      </c>
      <c r="D28" t="s">
        <v>3034</v>
      </c>
      <c r="E28" t="s">
        <v>3035</v>
      </c>
      <c r="F28" t="s">
        <v>3036</v>
      </c>
      <c r="G28" t="s">
        <v>3037</v>
      </c>
      <c r="H28" t="s">
        <v>3038</v>
      </c>
      <c r="I28" t="s">
        <v>3039</v>
      </c>
      <c r="J28" t="s">
        <v>3040</v>
      </c>
      <c r="K28" t="s">
        <v>3041</v>
      </c>
      <c r="L28" t="s">
        <v>3042</v>
      </c>
      <c r="M28" t="s">
        <v>3043</v>
      </c>
      <c r="N28" t="s">
        <v>3044</v>
      </c>
      <c r="O28" t="s">
        <v>3026</v>
      </c>
      <c r="P28" t="s">
        <v>3027</v>
      </c>
      <c r="Q28" t="s">
        <v>3045</v>
      </c>
      <c r="R28" t="s">
        <v>3046</v>
      </c>
      <c r="S28" t="s">
        <v>3047</v>
      </c>
      <c r="T28" t="s">
        <v>3048</v>
      </c>
      <c r="U28" t="s">
        <v>3048</v>
      </c>
      <c r="V28" t="s">
        <v>251</v>
      </c>
    </row>
    <row r="29" spans="1:22" x14ac:dyDescent="0.3">
      <c r="A29" t="s">
        <v>611</v>
      </c>
      <c r="B29" t="s">
        <v>3049</v>
      </c>
      <c r="C29" t="s">
        <v>1501</v>
      </c>
      <c r="D29" t="s">
        <v>3050</v>
      </c>
      <c r="E29" t="s">
        <v>3051</v>
      </c>
      <c r="F29" t="s">
        <v>3052</v>
      </c>
      <c r="G29" t="s">
        <v>3053</v>
      </c>
      <c r="H29" t="s">
        <v>3054</v>
      </c>
      <c r="I29" t="s">
        <v>1611</v>
      </c>
      <c r="J29" t="s">
        <v>3055</v>
      </c>
      <c r="K29" t="s">
        <v>3056</v>
      </c>
      <c r="L29" t="s">
        <v>3057</v>
      </c>
      <c r="M29" t="s">
        <v>3058</v>
      </c>
      <c r="N29" t="s">
        <v>3059</v>
      </c>
      <c r="O29" t="s">
        <v>3060</v>
      </c>
      <c r="P29" t="s">
        <v>3061</v>
      </c>
      <c r="Q29" t="s">
        <v>3062</v>
      </c>
      <c r="R29" t="s">
        <v>3063</v>
      </c>
      <c r="S29" t="s">
        <v>3064</v>
      </c>
      <c r="T29" t="s">
        <v>806</v>
      </c>
      <c r="U29" t="s">
        <v>3065</v>
      </c>
      <c r="V29" t="s">
        <v>251</v>
      </c>
    </row>
    <row r="30" spans="1:22" x14ac:dyDescent="0.3">
      <c r="A30" t="s">
        <v>632</v>
      </c>
      <c r="B30" t="s">
        <v>3066</v>
      </c>
      <c r="C30" t="s">
        <v>3067</v>
      </c>
      <c r="D30" t="s">
        <v>3068</v>
      </c>
      <c r="E30" t="s">
        <v>3069</v>
      </c>
      <c r="F30" t="s">
        <v>453</v>
      </c>
      <c r="G30" t="s">
        <v>3070</v>
      </c>
      <c r="H30" t="s">
        <v>3071</v>
      </c>
      <c r="I30" t="s">
        <v>684</v>
      </c>
      <c r="J30" t="s">
        <v>3072</v>
      </c>
      <c r="K30" t="s">
        <v>3073</v>
      </c>
      <c r="L30" t="s">
        <v>3074</v>
      </c>
      <c r="M30" t="s">
        <v>438</v>
      </c>
      <c r="N30" t="s">
        <v>2508</v>
      </c>
      <c r="O30" t="s">
        <v>644</v>
      </c>
      <c r="P30" t="s">
        <v>648</v>
      </c>
      <c r="Q30" t="s">
        <v>3075</v>
      </c>
      <c r="R30" t="s">
        <v>3074</v>
      </c>
      <c r="S30" t="s">
        <v>2032</v>
      </c>
      <c r="T30" t="s">
        <v>2048</v>
      </c>
      <c r="U30" t="s">
        <v>3076</v>
      </c>
      <c r="V30" t="s">
        <v>251</v>
      </c>
    </row>
    <row r="31" spans="1:22" x14ac:dyDescent="0.3">
      <c r="A31" t="s">
        <v>650</v>
      </c>
      <c r="B31" t="s">
        <v>3077</v>
      </c>
      <c r="C31" t="s">
        <v>3078</v>
      </c>
      <c r="D31" t="s">
        <v>3079</v>
      </c>
      <c r="E31" t="s">
        <v>3080</v>
      </c>
      <c r="F31" t="s">
        <v>3081</v>
      </c>
      <c r="G31" t="s">
        <v>3082</v>
      </c>
      <c r="H31" t="s">
        <v>3083</v>
      </c>
      <c r="I31" t="s">
        <v>681</v>
      </c>
      <c r="J31" t="s">
        <v>2047</v>
      </c>
      <c r="K31" t="s">
        <v>3084</v>
      </c>
      <c r="L31" t="s">
        <v>3074</v>
      </c>
      <c r="M31" t="s">
        <v>3085</v>
      </c>
      <c r="N31" t="s">
        <v>2508</v>
      </c>
      <c r="O31" t="s">
        <v>644</v>
      </c>
      <c r="P31" t="s">
        <v>648</v>
      </c>
      <c r="Q31" t="s">
        <v>3086</v>
      </c>
      <c r="R31" t="s">
        <v>3074</v>
      </c>
      <c r="S31" t="s">
        <v>2045</v>
      </c>
      <c r="T31" t="s">
        <v>557</v>
      </c>
      <c r="U31" t="s">
        <v>688</v>
      </c>
      <c r="V31" t="s">
        <v>251</v>
      </c>
    </row>
    <row r="32" spans="1:22" x14ac:dyDescent="0.3">
      <c r="A32" t="s">
        <v>652</v>
      </c>
      <c r="B32" t="s">
        <v>3087</v>
      </c>
      <c r="C32" t="s">
        <v>3088</v>
      </c>
      <c r="D32" t="s">
        <v>3089</v>
      </c>
      <c r="E32" t="s">
        <v>3090</v>
      </c>
      <c r="F32" t="s">
        <v>3091</v>
      </c>
      <c r="G32" t="s">
        <v>3092</v>
      </c>
      <c r="H32" t="s">
        <v>3093</v>
      </c>
      <c r="I32" t="s">
        <v>3094</v>
      </c>
      <c r="J32" t="s">
        <v>3095</v>
      </c>
      <c r="K32" t="s">
        <v>436</v>
      </c>
      <c r="L32" t="s">
        <v>436</v>
      </c>
      <c r="M32" t="s">
        <v>3096</v>
      </c>
      <c r="N32" t="s">
        <v>3097</v>
      </c>
      <c r="O32" t="s">
        <v>436</v>
      </c>
      <c r="P32" t="s">
        <v>436</v>
      </c>
      <c r="Q32" t="s">
        <v>3098</v>
      </c>
      <c r="R32" t="s">
        <v>3099</v>
      </c>
      <c r="S32" t="s">
        <v>3100</v>
      </c>
      <c r="T32" t="s">
        <v>3101</v>
      </c>
      <c r="U32" t="s">
        <v>3102</v>
      </c>
      <c r="V32" t="s">
        <v>251</v>
      </c>
    </row>
    <row r="33" spans="1:22" x14ac:dyDescent="0.3">
      <c r="A33" t="s">
        <v>655</v>
      </c>
      <c r="B33" t="s">
        <v>3103</v>
      </c>
      <c r="C33" t="s">
        <v>3104</v>
      </c>
      <c r="D33" t="s">
        <v>3105</v>
      </c>
      <c r="E33" t="s">
        <v>3106</v>
      </c>
      <c r="F33" t="s">
        <v>3107</v>
      </c>
      <c r="G33" t="s">
        <v>3108</v>
      </c>
      <c r="H33" t="s">
        <v>3109</v>
      </c>
      <c r="I33" t="s">
        <v>3110</v>
      </c>
      <c r="J33" t="s">
        <v>3111</v>
      </c>
      <c r="K33" t="s">
        <v>3112</v>
      </c>
      <c r="L33" t="s">
        <v>3113</v>
      </c>
      <c r="M33" t="s">
        <v>3114</v>
      </c>
      <c r="N33" t="s">
        <v>3115</v>
      </c>
      <c r="O33" t="s">
        <v>3116</v>
      </c>
      <c r="P33" t="s">
        <v>3117</v>
      </c>
      <c r="Q33" t="s">
        <v>3118</v>
      </c>
      <c r="R33" t="s">
        <v>3119</v>
      </c>
      <c r="S33" t="s">
        <v>3120</v>
      </c>
      <c r="T33" t="s">
        <v>3121</v>
      </c>
      <c r="U33" t="s">
        <v>3122</v>
      </c>
      <c r="V33" t="s">
        <v>251</v>
      </c>
    </row>
    <row r="34" spans="1:22" x14ac:dyDescent="0.3">
      <c r="A34" t="s">
        <v>676</v>
      </c>
      <c r="B34" t="s">
        <v>642</v>
      </c>
      <c r="C34" t="s">
        <v>438</v>
      </c>
      <c r="D34" t="s">
        <v>3123</v>
      </c>
      <c r="E34" t="s">
        <v>3124</v>
      </c>
      <c r="F34" t="s">
        <v>3074</v>
      </c>
      <c r="G34" t="s">
        <v>3125</v>
      </c>
      <c r="H34" t="s">
        <v>3126</v>
      </c>
      <c r="I34" t="s">
        <v>1494</v>
      </c>
      <c r="J34" t="s">
        <v>2030</v>
      </c>
      <c r="K34" t="s">
        <v>3127</v>
      </c>
      <c r="L34" t="s">
        <v>487</v>
      </c>
      <c r="M34" t="s">
        <v>3128</v>
      </c>
      <c r="N34" t="s">
        <v>3129</v>
      </c>
      <c r="O34" t="s">
        <v>3130</v>
      </c>
      <c r="P34" t="s">
        <v>3131</v>
      </c>
      <c r="Q34" t="s">
        <v>3132</v>
      </c>
      <c r="R34" t="s">
        <v>3133</v>
      </c>
      <c r="S34" t="s">
        <v>3134</v>
      </c>
      <c r="T34" t="s">
        <v>3135</v>
      </c>
      <c r="U34" t="s">
        <v>3136</v>
      </c>
      <c r="V34" t="s">
        <v>251</v>
      </c>
    </row>
    <row r="35" spans="1:22" x14ac:dyDescent="0.3">
      <c r="A35" t="s">
        <v>694</v>
      </c>
      <c r="B35" t="s">
        <v>3137</v>
      </c>
      <c r="C35" t="s">
        <v>3138</v>
      </c>
      <c r="D35" t="s">
        <v>3139</v>
      </c>
      <c r="E35" t="s">
        <v>3140</v>
      </c>
      <c r="F35" t="s">
        <v>3141</v>
      </c>
      <c r="G35" t="s">
        <v>3142</v>
      </c>
      <c r="H35" t="s">
        <v>3143</v>
      </c>
      <c r="I35" t="s">
        <v>3144</v>
      </c>
      <c r="J35" t="s">
        <v>3100</v>
      </c>
      <c r="K35" t="s">
        <v>3145</v>
      </c>
      <c r="L35" t="s">
        <v>3146</v>
      </c>
      <c r="M35" t="s">
        <v>3147</v>
      </c>
      <c r="N35" t="s">
        <v>3148</v>
      </c>
      <c r="O35" t="s">
        <v>3149</v>
      </c>
      <c r="P35" t="s">
        <v>2623</v>
      </c>
      <c r="Q35" t="s">
        <v>3150</v>
      </c>
      <c r="R35" t="s">
        <v>3151</v>
      </c>
      <c r="S35" t="s">
        <v>3152</v>
      </c>
      <c r="T35" t="s">
        <v>3153</v>
      </c>
      <c r="U35" t="s">
        <v>3154</v>
      </c>
      <c r="V35" t="s">
        <v>251</v>
      </c>
    </row>
    <row r="36" spans="1:22" x14ac:dyDescent="0.3">
      <c r="A36" t="s">
        <v>715</v>
      </c>
      <c r="B36" t="s">
        <v>3155</v>
      </c>
      <c r="C36" t="s">
        <v>3156</v>
      </c>
      <c r="D36" t="s">
        <v>3157</v>
      </c>
      <c r="E36" t="s">
        <v>1623</v>
      </c>
      <c r="F36" t="s">
        <v>3158</v>
      </c>
      <c r="G36" t="s">
        <v>3159</v>
      </c>
      <c r="H36" t="s">
        <v>3160</v>
      </c>
      <c r="I36" t="s">
        <v>3161</v>
      </c>
      <c r="J36" t="s">
        <v>3162</v>
      </c>
      <c r="K36" t="s">
        <v>3163</v>
      </c>
      <c r="L36" t="s">
        <v>3164</v>
      </c>
      <c r="M36" t="s">
        <v>623</v>
      </c>
      <c r="N36" t="s">
        <v>3165</v>
      </c>
      <c r="O36" t="s">
        <v>3166</v>
      </c>
      <c r="P36" t="s">
        <v>3167</v>
      </c>
      <c r="Q36" t="s">
        <v>3168</v>
      </c>
      <c r="R36" t="s">
        <v>3169</v>
      </c>
      <c r="S36" t="s">
        <v>631</v>
      </c>
      <c r="T36" t="s">
        <v>1698</v>
      </c>
      <c r="U36" t="s">
        <v>1687</v>
      </c>
      <c r="V36" t="s">
        <v>251</v>
      </c>
    </row>
    <row r="37" spans="1:22" x14ac:dyDescent="0.3">
      <c r="A37" t="s">
        <v>736</v>
      </c>
      <c r="B37" t="s">
        <v>3170</v>
      </c>
      <c r="C37" t="s">
        <v>3171</v>
      </c>
      <c r="D37" t="s">
        <v>3172</v>
      </c>
      <c r="E37" t="s">
        <v>3173</v>
      </c>
      <c r="F37" t="s">
        <v>1685</v>
      </c>
      <c r="G37" t="s">
        <v>3174</v>
      </c>
      <c r="H37" t="s">
        <v>3175</v>
      </c>
      <c r="I37" t="s">
        <v>3176</v>
      </c>
      <c r="J37" t="s">
        <v>3177</v>
      </c>
      <c r="K37" t="s">
        <v>3178</v>
      </c>
      <c r="L37" t="s">
        <v>3179</v>
      </c>
      <c r="M37" t="s">
        <v>3180</v>
      </c>
      <c r="N37" t="s">
        <v>3181</v>
      </c>
      <c r="O37" t="s">
        <v>741</v>
      </c>
      <c r="P37" t="s">
        <v>3182</v>
      </c>
      <c r="Q37" t="s">
        <v>3183</v>
      </c>
      <c r="R37" t="s">
        <v>3184</v>
      </c>
      <c r="S37" t="s">
        <v>2059</v>
      </c>
      <c r="T37" t="s">
        <v>3185</v>
      </c>
      <c r="U37" t="s">
        <v>3186</v>
      </c>
      <c r="V37" t="s">
        <v>251</v>
      </c>
    </row>
    <row r="38" spans="1:22" x14ac:dyDescent="0.3">
      <c r="A38" t="s">
        <v>757</v>
      </c>
      <c r="B38" t="s">
        <v>3187</v>
      </c>
      <c r="C38" t="s">
        <v>3188</v>
      </c>
      <c r="D38" t="s">
        <v>3189</v>
      </c>
      <c r="E38" t="s">
        <v>3190</v>
      </c>
      <c r="F38" t="s">
        <v>3191</v>
      </c>
      <c r="G38" t="s">
        <v>3192</v>
      </c>
      <c r="H38" t="s">
        <v>3193</v>
      </c>
      <c r="I38" t="s">
        <v>3194</v>
      </c>
      <c r="J38" t="s">
        <v>3195</v>
      </c>
      <c r="K38" t="s">
        <v>3196</v>
      </c>
      <c r="L38" t="s">
        <v>3197</v>
      </c>
      <c r="M38" t="s">
        <v>3198</v>
      </c>
      <c r="N38" t="s">
        <v>2020</v>
      </c>
      <c r="O38" t="s">
        <v>3199</v>
      </c>
      <c r="P38" t="s">
        <v>3200</v>
      </c>
      <c r="Q38" t="s">
        <v>3201</v>
      </c>
      <c r="R38" t="s">
        <v>3202</v>
      </c>
      <c r="S38" t="s">
        <v>3203</v>
      </c>
      <c r="T38" t="s">
        <v>3204</v>
      </c>
      <c r="U38" t="s">
        <v>3205</v>
      </c>
      <c r="V38" t="s">
        <v>251</v>
      </c>
    </row>
    <row r="39" spans="1:22" x14ac:dyDescent="0.3">
      <c r="A39" t="s">
        <v>778</v>
      </c>
      <c r="B39" t="s">
        <v>3206</v>
      </c>
      <c r="C39" t="s">
        <v>3207</v>
      </c>
      <c r="D39" t="s">
        <v>3208</v>
      </c>
      <c r="E39" t="s">
        <v>3209</v>
      </c>
      <c r="F39" t="s">
        <v>3210</v>
      </c>
      <c r="G39" t="s">
        <v>3211</v>
      </c>
      <c r="H39" t="s">
        <v>3212</v>
      </c>
      <c r="I39" t="s">
        <v>3213</v>
      </c>
      <c r="J39" t="s">
        <v>3214</v>
      </c>
      <c r="K39" t="s">
        <v>3215</v>
      </c>
      <c r="L39" t="s">
        <v>3216</v>
      </c>
      <c r="M39" t="s">
        <v>3217</v>
      </c>
      <c r="N39" t="s">
        <v>1651</v>
      </c>
      <c r="O39" t="s">
        <v>3218</v>
      </c>
      <c r="P39" t="s">
        <v>3219</v>
      </c>
      <c r="Q39" t="s">
        <v>3220</v>
      </c>
      <c r="R39" t="s">
        <v>3221</v>
      </c>
      <c r="S39" t="s">
        <v>3222</v>
      </c>
      <c r="T39" t="s">
        <v>3223</v>
      </c>
      <c r="U39" t="s">
        <v>3224</v>
      </c>
      <c r="V39" t="s">
        <v>251</v>
      </c>
    </row>
    <row r="40" spans="1:22" x14ac:dyDescent="0.3">
      <c r="A40" t="s">
        <v>797</v>
      </c>
      <c r="B40" t="s">
        <v>3225</v>
      </c>
      <c r="C40" t="s">
        <v>3226</v>
      </c>
      <c r="D40" t="s">
        <v>3227</v>
      </c>
      <c r="E40" t="s">
        <v>3228</v>
      </c>
      <c r="F40" t="s">
        <v>3229</v>
      </c>
      <c r="G40" t="s">
        <v>3230</v>
      </c>
      <c r="H40" t="s">
        <v>3231</v>
      </c>
      <c r="I40" t="s">
        <v>3232</v>
      </c>
      <c r="J40" t="s">
        <v>3233</v>
      </c>
      <c r="K40" t="s">
        <v>3234</v>
      </c>
      <c r="L40" t="s">
        <v>2586</v>
      </c>
      <c r="M40" t="s">
        <v>3235</v>
      </c>
      <c r="N40" t="s">
        <v>1159</v>
      </c>
      <c r="O40" t="s">
        <v>3236</v>
      </c>
      <c r="P40" t="s">
        <v>3237</v>
      </c>
      <c r="Q40" t="s">
        <v>3238</v>
      </c>
      <c r="R40" t="s">
        <v>3239</v>
      </c>
      <c r="S40" t="s">
        <v>3240</v>
      </c>
      <c r="T40" t="s">
        <v>3241</v>
      </c>
      <c r="U40" t="s">
        <v>3242</v>
      </c>
      <c r="V40" t="s">
        <v>251</v>
      </c>
    </row>
    <row r="41" spans="1:22" x14ac:dyDescent="0.3">
      <c r="A41" t="s">
        <v>817</v>
      </c>
      <c r="B41" t="s">
        <v>3243</v>
      </c>
      <c r="C41" t="s">
        <v>3244</v>
      </c>
      <c r="D41" t="s">
        <v>3245</v>
      </c>
      <c r="E41" t="s">
        <v>3246</v>
      </c>
      <c r="F41" t="s">
        <v>3247</v>
      </c>
      <c r="G41" t="s">
        <v>3248</v>
      </c>
      <c r="H41" t="s">
        <v>3249</v>
      </c>
      <c r="I41" t="s">
        <v>3250</v>
      </c>
      <c r="J41" t="s">
        <v>3251</v>
      </c>
      <c r="K41" t="s">
        <v>3252</v>
      </c>
      <c r="L41" t="s">
        <v>3253</v>
      </c>
      <c r="M41" t="s">
        <v>1379</v>
      </c>
      <c r="N41" t="s">
        <v>3254</v>
      </c>
      <c r="O41" t="s">
        <v>3255</v>
      </c>
      <c r="P41" t="s">
        <v>3256</v>
      </c>
      <c r="Q41" t="s">
        <v>3257</v>
      </c>
      <c r="R41" t="s">
        <v>3258</v>
      </c>
      <c r="S41" t="s">
        <v>3259</v>
      </c>
      <c r="T41" t="s">
        <v>3260</v>
      </c>
      <c r="U41" t="s">
        <v>3261</v>
      </c>
      <c r="V41" t="s">
        <v>251</v>
      </c>
    </row>
    <row r="42" spans="1:22" x14ac:dyDescent="0.3">
      <c r="A42" t="s">
        <v>838</v>
      </c>
      <c r="B42" t="s">
        <v>2813</v>
      </c>
      <c r="C42" t="s">
        <v>2814</v>
      </c>
      <c r="D42" t="s">
        <v>2815</v>
      </c>
      <c r="E42" t="s">
        <v>2816</v>
      </c>
      <c r="F42" t="s">
        <v>2817</v>
      </c>
      <c r="G42" t="s">
        <v>2818</v>
      </c>
      <c r="H42" t="s">
        <v>2819</v>
      </c>
      <c r="I42" t="s">
        <v>2820</v>
      </c>
      <c r="J42" t="s">
        <v>2821</v>
      </c>
      <c r="K42" t="s">
        <v>2822</v>
      </c>
      <c r="L42" t="s">
        <v>2823</v>
      </c>
      <c r="M42" t="s">
        <v>2824</v>
      </c>
      <c r="N42" t="s">
        <v>2825</v>
      </c>
      <c r="O42" t="s">
        <v>2826</v>
      </c>
      <c r="P42" t="s">
        <v>2827</v>
      </c>
      <c r="Q42" t="s">
        <v>2828</v>
      </c>
      <c r="R42" t="s">
        <v>2829</v>
      </c>
      <c r="S42" t="s">
        <v>2830</v>
      </c>
      <c r="T42" t="s">
        <v>2831</v>
      </c>
      <c r="U42" t="s">
        <v>2832</v>
      </c>
      <c r="V42" t="s">
        <v>251</v>
      </c>
    </row>
    <row r="43" spans="1:22" x14ac:dyDescent="0.3">
      <c r="A43" t="s">
        <v>839</v>
      </c>
      <c r="B43" t="s">
        <v>3155</v>
      </c>
      <c r="C43" t="s">
        <v>3156</v>
      </c>
      <c r="D43" t="s">
        <v>3157</v>
      </c>
      <c r="E43" t="s">
        <v>1623</v>
      </c>
      <c r="F43" t="s">
        <v>3158</v>
      </c>
      <c r="G43" t="s">
        <v>3159</v>
      </c>
      <c r="H43" t="s">
        <v>3160</v>
      </c>
      <c r="I43" t="s">
        <v>3161</v>
      </c>
      <c r="J43" t="s">
        <v>3162</v>
      </c>
      <c r="K43" t="s">
        <v>3163</v>
      </c>
      <c r="L43" t="s">
        <v>3164</v>
      </c>
      <c r="M43" t="s">
        <v>623</v>
      </c>
      <c r="N43" t="s">
        <v>3165</v>
      </c>
      <c r="O43" t="s">
        <v>3166</v>
      </c>
      <c r="P43" t="s">
        <v>3167</v>
      </c>
      <c r="Q43" t="s">
        <v>3168</v>
      </c>
      <c r="R43" t="s">
        <v>3169</v>
      </c>
      <c r="S43" t="s">
        <v>631</v>
      </c>
      <c r="T43" t="s">
        <v>1698</v>
      </c>
      <c r="U43" t="s">
        <v>1687</v>
      </c>
      <c r="V43" t="s">
        <v>251</v>
      </c>
    </row>
    <row r="44" spans="1:22" x14ac:dyDescent="0.3">
      <c r="A44" t="s">
        <v>840</v>
      </c>
      <c r="B44" t="s">
        <v>3262</v>
      </c>
      <c r="C44" t="s">
        <v>3263</v>
      </c>
      <c r="D44" t="s">
        <v>3264</v>
      </c>
      <c r="E44" t="s">
        <v>3265</v>
      </c>
      <c r="F44" t="s">
        <v>1528</v>
      </c>
      <c r="G44" t="s">
        <v>3266</v>
      </c>
      <c r="H44" t="s">
        <v>3267</v>
      </c>
      <c r="I44" t="s">
        <v>3268</v>
      </c>
      <c r="J44" t="s">
        <v>3269</v>
      </c>
      <c r="K44" t="s">
        <v>3270</v>
      </c>
      <c r="L44" t="s">
        <v>3271</v>
      </c>
      <c r="M44" t="s">
        <v>436</v>
      </c>
      <c r="N44" t="s">
        <v>3272</v>
      </c>
      <c r="O44" t="s">
        <v>436</v>
      </c>
      <c r="P44" t="s">
        <v>436</v>
      </c>
      <c r="Q44" t="s">
        <v>3273</v>
      </c>
      <c r="R44" t="s">
        <v>3274</v>
      </c>
      <c r="S44" t="s">
        <v>3275</v>
      </c>
      <c r="T44" t="s">
        <v>3276</v>
      </c>
      <c r="U44" t="s">
        <v>3277</v>
      </c>
      <c r="V44" t="s">
        <v>251</v>
      </c>
    </row>
    <row r="45" spans="1:22" x14ac:dyDescent="0.3">
      <c r="A45" t="s">
        <v>847</v>
      </c>
      <c r="B45" t="s">
        <v>2660</v>
      </c>
      <c r="C45" t="s">
        <v>2661</v>
      </c>
      <c r="D45" t="s">
        <v>2662</v>
      </c>
      <c r="E45" t="s">
        <v>2663</v>
      </c>
      <c r="F45" t="s">
        <v>2664</v>
      </c>
      <c r="G45" t="s">
        <v>2665</v>
      </c>
      <c r="H45" t="s">
        <v>2666</v>
      </c>
      <c r="I45" t="s">
        <v>2667</v>
      </c>
      <c r="J45" t="s">
        <v>2668</v>
      </c>
      <c r="K45" t="s">
        <v>2669</v>
      </c>
      <c r="L45" t="s">
        <v>2670</v>
      </c>
      <c r="M45" t="s">
        <v>2671</v>
      </c>
      <c r="N45" t="s">
        <v>2672</v>
      </c>
      <c r="O45" t="s">
        <v>2673</v>
      </c>
      <c r="P45" t="s">
        <v>2674</v>
      </c>
      <c r="Q45" t="s">
        <v>2675</v>
      </c>
      <c r="R45" t="s">
        <v>2676</v>
      </c>
      <c r="S45" t="s">
        <v>2677</v>
      </c>
      <c r="T45" t="s">
        <v>2678</v>
      </c>
      <c r="U45" t="s">
        <v>2679</v>
      </c>
      <c r="V45" t="s">
        <v>251</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3B9D9-CC97-4BBB-82AD-08E80424A635}">
  <dimension ref="A1:K18"/>
  <sheetViews>
    <sheetView workbookViewId="0"/>
  </sheetViews>
  <sheetFormatPr defaultRowHeight="14.4" x14ac:dyDescent="0.3"/>
  <cols>
    <col min="1" max="1" width="20.77734375" bestFit="1" customWidth="1"/>
    <col min="2" max="2" width="29.33203125" customWidth="1"/>
    <col min="3" max="3" width="45.88671875" hidden="1" customWidth="1"/>
    <col min="4" max="4" width="38.109375" customWidth="1"/>
    <col min="5" max="5" width="35.88671875" bestFit="1" customWidth="1"/>
    <col min="6" max="6" width="31.5546875" customWidth="1"/>
    <col min="7" max="11" width="31" customWidth="1"/>
  </cols>
  <sheetData>
    <row r="1" spans="1:11" x14ac:dyDescent="0.3">
      <c r="A1" t="s">
        <v>126</v>
      </c>
      <c r="B1" t="s">
        <v>123</v>
      </c>
      <c r="C1" t="s">
        <v>127</v>
      </c>
      <c r="D1" t="e" vm="173">
        <v>#VALUE!</v>
      </c>
      <c r="E1" t="e" vm="174">
        <v>#VALUE!</v>
      </c>
      <c r="F1" t="e" vm="175">
        <v>#VALUE!</v>
      </c>
      <c r="G1" t="e" vm="176">
        <v>#VALUE!</v>
      </c>
      <c r="H1" t="e" vm="177">
        <v>#VALUE!</v>
      </c>
      <c r="I1" t="e" vm="178">
        <v>#VALUE!</v>
      </c>
    </row>
    <row r="2" spans="1:11" x14ac:dyDescent="0.3">
      <c r="A2" t="s">
        <v>128</v>
      </c>
      <c r="B2" t="s">
        <v>124</v>
      </c>
      <c r="C2" t="s">
        <v>129</v>
      </c>
      <c r="D2" s="9" cm="1">
        <f t="array" aca="1" ref="D2" ca="1">_FV(D$1,"P/E",TRUE)</f>
        <v>34.782400000000003</v>
      </c>
      <c r="E2" s="9" cm="1">
        <f t="array" aca="1" ref="E2" ca="1">_FV(E$1,"P/E",TRUE)</f>
        <v>15.6296</v>
      </c>
      <c r="F2" s="9" cm="1">
        <f t="array" aca="1" ref="F2" ca="1">_FV(F$1,"P/E",TRUE)</f>
        <v>0</v>
      </c>
      <c r="G2" s="9" cm="1">
        <f t="array" aca="1" ref="G2" ca="1">_FV(G$1,"P/E",TRUE)</f>
        <v>14.9483</v>
      </c>
      <c r="H2" s="9" cm="1">
        <f t="array" aca="1" ref="H2" ca="1">_FV(H$1,"P/E",TRUE)</f>
        <v>21.638300000000001</v>
      </c>
      <c r="I2" s="9" t="e" cm="1" vm="179">
        <f t="array" ref="I2">_FV(I$1,"P/E",TRUE)</f>
        <v>#VALUE!</v>
      </c>
      <c r="J2" s="9" t="e" cm="1" vm="179">
        <f t="array" ref="J2">_FV(J$1,"P/E",TRUE)</f>
        <v>#VALUE!</v>
      </c>
      <c r="K2" s="9" t="e" cm="1" vm="179">
        <f t="array" ref="K2">_FV(K$1,"P/E",TRUE)</f>
        <v>#VALUE!</v>
      </c>
    </row>
    <row r="3" spans="1:11" x14ac:dyDescent="0.3">
      <c r="B3" t="s">
        <v>130</v>
      </c>
      <c r="C3" t="s">
        <v>131</v>
      </c>
      <c r="D3" t="e" cm="1" vm="180">
        <f t="array" ref="D3">_FV(D$1,"Price/book value",TRUE)</f>
        <v>#VALUE!</v>
      </c>
      <c r="E3" t="e" cm="1" vm="180">
        <f t="array" ref="E3">_FV(E$1,"Price/book value",TRUE)</f>
        <v>#VALUE!</v>
      </c>
      <c r="F3" t="e" cm="1" vm="180">
        <f t="array" ref="F3">_FV(F$1,"Price/book value",TRUE)</f>
        <v>#VALUE!</v>
      </c>
      <c r="G3" t="e" cm="1" vm="180">
        <f t="array" ref="G3">_FV(G$1,"Price/book value",TRUE)</f>
        <v>#VALUE!</v>
      </c>
      <c r="H3" t="e" cm="1" vm="180">
        <f t="array" ref="H3">_FV(H$1,"Price/book value",TRUE)</f>
        <v>#VALUE!</v>
      </c>
      <c r="I3" t="e" cm="1" vm="180">
        <f t="array" ref="I3">_FV(I$1,"Price/book value",TRUE)</f>
        <v>#VALUE!</v>
      </c>
      <c r="J3" t="e" cm="1" vm="180">
        <f t="array" ref="J3">_FV(J$1,"Price/book value",TRUE)</f>
        <v>#VALUE!</v>
      </c>
      <c r="K3" t="e" cm="1" vm="180">
        <f t="array" ref="K3">_FV(K$1,"Price/book value",TRUE)</f>
        <v>#VALUE!</v>
      </c>
    </row>
    <row r="4" spans="1:11" x14ac:dyDescent="0.3">
      <c r="B4" t="s">
        <v>132</v>
      </c>
      <c r="C4" t="s">
        <v>133</v>
      </c>
      <c r="D4" t="e" cm="1" vm="181">
        <f t="array" ref="D4">_FV(D$1,"Price/sales",TRUE)</f>
        <v>#VALUE!</v>
      </c>
      <c r="E4" t="e" cm="1" vm="181">
        <f t="array" ref="E4">_FV(E$1,"Price/sales",TRUE)</f>
        <v>#VALUE!</v>
      </c>
      <c r="F4" t="e" cm="1" vm="181">
        <f t="array" ref="F4">_FV(F$1,"Price/sales",TRUE)</f>
        <v>#VALUE!</v>
      </c>
      <c r="G4" t="e" cm="1" vm="181">
        <f t="array" ref="G4">_FV(G$1,"Price/sales",TRUE)</f>
        <v>#VALUE!</v>
      </c>
      <c r="H4" t="e" cm="1" vm="181">
        <f t="array" ref="H4">_FV(H$1,"Price/sales",TRUE)</f>
        <v>#VALUE!</v>
      </c>
      <c r="I4" t="e" cm="1" vm="181">
        <f t="array" ref="I4">_FV(I$1,"Price/sales",TRUE)</f>
        <v>#VALUE!</v>
      </c>
      <c r="J4" t="e" cm="1" vm="181">
        <f t="array" ref="J4">_FV(J$1,"Price/sales",TRUE)</f>
        <v>#VALUE!</v>
      </c>
      <c r="K4" t="e" cm="1" vm="181">
        <f t="array" ref="K4">_FV(K$1,"Price/sales",TRUE)</f>
        <v>#VALUE!</v>
      </c>
    </row>
    <row r="5" spans="1:11" x14ac:dyDescent="0.3">
      <c r="B5" t="s">
        <v>125</v>
      </c>
      <c r="C5" t="s">
        <v>134</v>
      </c>
      <c r="D5" t="e" cm="1" vm="182">
        <f t="array" ref="D5">_FV(D$1,"Market capitalization",TRUE)</f>
        <v>#VALUE!</v>
      </c>
      <c r="E5" t="e" cm="1" vm="182">
        <f t="array" ref="E5">_FV(E$1,"Market capitalization",TRUE)</f>
        <v>#VALUE!</v>
      </c>
      <c r="F5" t="e" cm="1" vm="182">
        <f t="array" ref="F5">_FV(F$1,"Market capitalization",TRUE)</f>
        <v>#VALUE!</v>
      </c>
      <c r="G5" t="e" cm="1" vm="182">
        <f t="array" ref="G5">_FV(G$1,"Market capitalization",TRUE)</f>
        <v>#VALUE!</v>
      </c>
      <c r="H5" t="e" cm="1" vm="182">
        <f t="array" ref="H5">_FV(H$1,"Market capitalization",TRUE)</f>
        <v>#VALUE!</v>
      </c>
      <c r="I5" t="e" cm="1" vm="182">
        <f t="array" ref="I5">_FV(I$1,"Market capitalization",TRUE)</f>
        <v>#VALUE!</v>
      </c>
      <c r="J5" t="e" cm="1" vm="182">
        <f t="array" ref="J5">_FV(J$1,"Market capitalization",TRUE)</f>
        <v>#VALUE!</v>
      </c>
      <c r="K5" t="e" cm="1" vm="182">
        <f t="array" ref="K5">_FV(K$1,"Market capitalization",TRUE)</f>
        <v>#VALUE!</v>
      </c>
    </row>
    <row r="6" spans="1:11" x14ac:dyDescent="0.3">
      <c r="A6" t="s">
        <v>135</v>
      </c>
      <c r="B6" t="s">
        <v>136</v>
      </c>
      <c r="C6" t="s">
        <v>137</v>
      </c>
      <c r="D6" t="e" cm="1" vm="183">
        <f t="array" ref="D6">_FV(D$1,"Dividend yield",TRUE)</f>
        <v>#VALUE!</v>
      </c>
      <c r="E6" t="e" cm="1" vm="183">
        <f t="array" ref="E6">_FV(E$1,"Dividend yield",TRUE)</f>
        <v>#VALUE!</v>
      </c>
      <c r="F6" t="e" cm="1" vm="183">
        <f t="array" ref="F6">_FV(F$1,"Dividend yield",TRUE)</f>
        <v>#VALUE!</v>
      </c>
      <c r="G6" t="e" cm="1" vm="183">
        <f t="array" ref="G6">_FV(G$1,"Dividend yield",TRUE)</f>
        <v>#VALUE!</v>
      </c>
      <c r="H6" t="e" cm="1" vm="183">
        <f t="array" ref="H6">_FV(H$1,"Dividend yield",TRUE)</f>
        <v>#VALUE!</v>
      </c>
      <c r="I6" t="e" cm="1" vm="183">
        <f t="array" ref="I6">_FV(I$1,"Dividend yield",TRUE)</f>
        <v>#VALUE!</v>
      </c>
      <c r="J6" t="e" cm="1" vm="183">
        <f t="array" ref="J6">_FV(J$1,"Dividend yield",TRUE)</f>
        <v>#VALUE!</v>
      </c>
      <c r="K6" t="e" cm="1" vm="183">
        <f t="array" ref="K6">_FV(K$1,"Dividend yield",TRUE)</f>
        <v>#VALUE!</v>
      </c>
    </row>
    <row r="7" spans="1:11" x14ac:dyDescent="0.3">
      <c r="B7" t="s">
        <v>138</v>
      </c>
      <c r="C7" t="s">
        <v>139</v>
      </c>
      <c r="D7" t="e" cm="1" vm="184">
        <f t="array" ref="D7">_FV(D$1,"EPS")</f>
        <v>#VALUE!</v>
      </c>
      <c r="E7" t="e" cm="1" vm="184">
        <f t="array" ref="E7">_FV(E$1,"EPS")</f>
        <v>#VALUE!</v>
      </c>
      <c r="F7" t="e" cm="1" vm="184">
        <f t="array" ref="F7">_FV(F$1,"EPS")</f>
        <v>#VALUE!</v>
      </c>
      <c r="G7" t="e" cm="1" vm="184">
        <f t="array" ref="G7">_FV(G$1,"EPS")</f>
        <v>#VALUE!</v>
      </c>
      <c r="H7" t="e" cm="1" vm="184">
        <f t="array" ref="H7">_FV(H$1,"EPS")</f>
        <v>#VALUE!</v>
      </c>
      <c r="I7" t="e" cm="1" vm="184">
        <f t="array" ref="I7">_FV(I$1,"EPS")</f>
        <v>#VALUE!</v>
      </c>
      <c r="J7" t="e" cm="1" vm="184">
        <f t="array" ref="J7">_FV(J$1,"EPS")</f>
        <v>#VALUE!</v>
      </c>
      <c r="K7" t="e" cm="1" vm="184">
        <f t="array" ref="K7">_FV(K$1,"EPS")</f>
        <v>#VALUE!</v>
      </c>
    </row>
    <row r="8" spans="1:11" x14ac:dyDescent="0.3">
      <c r="B8" t="s">
        <v>140</v>
      </c>
      <c r="C8" t="s">
        <v>141</v>
      </c>
      <c r="D8" t="e" cm="1" vm="185">
        <f t="array" ref="D8">_FV(D$1,"Dividend")</f>
        <v>#VALUE!</v>
      </c>
      <c r="E8" t="e" cm="1" vm="185">
        <f t="array" ref="E8">_FV(E$1,"Dividend")</f>
        <v>#VALUE!</v>
      </c>
      <c r="F8" t="e" cm="1" vm="185">
        <f t="array" ref="F8">_FV(F$1,"Dividend")</f>
        <v>#VALUE!</v>
      </c>
      <c r="G8" t="e" cm="1" vm="185">
        <f t="array" ref="G8">_FV(G$1,"Dividend")</f>
        <v>#VALUE!</v>
      </c>
      <c r="H8" t="e" cm="1" vm="185">
        <f t="array" ref="H8">_FV(H$1,"Dividend")</f>
        <v>#VALUE!</v>
      </c>
      <c r="I8" t="e" cm="1" vm="185">
        <f t="array" ref="I8">_FV(I$1,"Dividend")</f>
        <v>#VALUE!</v>
      </c>
      <c r="J8" t="e" cm="1" vm="185">
        <f t="array" ref="J8">_FV(J$1,"Dividend")</f>
        <v>#VALUE!</v>
      </c>
      <c r="K8" t="e" cm="1" vm="185">
        <f t="array" ref="K8">_FV(K$1,"Dividend")</f>
        <v>#VALUE!</v>
      </c>
    </row>
    <row r="9" spans="1:11" x14ac:dyDescent="0.3">
      <c r="A9" t="s">
        <v>142</v>
      </c>
      <c r="B9" t="s">
        <v>143</v>
      </c>
      <c r="C9" t="s">
        <v>144</v>
      </c>
      <c r="D9" s="10" cm="1">
        <f t="array" aca="1" ref="D9" ca="1">_FV(D$1,"Price")</f>
        <v>302.27999999999997</v>
      </c>
      <c r="E9" s="10" cm="1">
        <f t="array" aca="1" ref="E9" ca="1">_FV(E$1,"Price")</f>
        <v>364.91</v>
      </c>
      <c r="F9" s="10" cm="1">
        <f t="array" aca="1" ref="F9" ca="1">_FV(F$1,"Price")</f>
        <v>218.93</v>
      </c>
      <c r="G9" s="10" cm="1">
        <f t="array" aca="1" ref="G9" ca="1">_FV(G$1,"Price")</f>
        <v>64.534999999999997</v>
      </c>
      <c r="H9" s="10" cm="1">
        <f t="array" aca="1" ref="H9" ca="1">_FV(H$1,"Price")</f>
        <v>269.02</v>
      </c>
      <c r="I9" s="10" cm="1">
        <f t="array" aca="1" ref="I9" ca="1">_FV(I$1,"Price")</f>
        <v>59.055</v>
      </c>
      <c r="J9" s="10" t="e" cm="1" vm="186">
        <f t="array" ref="J9">_FV(J$1,"Price")</f>
        <v>#VALUE!</v>
      </c>
      <c r="K9" s="10" t="e" cm="1" vm="186">
        <f t="array" ref="K9">_FV(K$1,"Price")</f>
        <v>#VALUE!</v>
      </c>
    </row>
    <row r="10" spans="1:11" x14ac:dyDescent="0.3">
      <c r="B10" t="s">
        <v>145</v>
      </c>
      <c r="C10" t="s">
        <v>146</v>
      </c>
      <c r="D10" s="9" cm="1">
        <f t="array" aca="1" ref="D10" ca="1">_FV(D$1,"Beta")</f>
        <v>1.0771999999999999</v>
      </c>
      <c r="E10" s="9" cm="1">
        <f t="array" aca="1" ref="E10" ca="1">_FV(E$1,"Beta")</f>
        <v>0.97619999999999996</v>
      </c>
      <c r="F10" s="9" cm="1">
        <f t="array" aca="1" ref="F10" ca="1">_FV(F$1,"Beta")</f>
        <v>1.2524999999999999</v>
      </c>
      <c r="G10" s="9" cm="1">
        <f t="array" aca="1" ref="G10" ca="1">_FV(G$1,"Beta")</f>
        <v>1.1671</v>
      </c>
      <c r="H10" s="9" cm="1">
        <f t="array" aca="1" ref="H10" ca="1">_FV(H$1,"Beta")</f>
        <v>1.4463999999999999</v>
      </c>
      <c r="I10" s="9" cm="1">
        <f t="array" aca="1" ref="I10" ca="1">_FV(I$1,"Beta")</f>
        <v>1.4402999999999999</v>
      </c>
      <c r="J10" s="9" t="e" cm="1" vm="187">
        <f t="array" ref="J10">_FV(J$1,"Beta")</f>
        <v>#VALUE!</v>
      </c>
      <c r="K10" s="9" t="e" cm="1" vm="187">
        <f t="array" ref="K10">_FV(K$1,"Beta")</f>
        <v>#VALUE!</v>
      </c>
    </row>
    <row r="11" spans="1:11" x14ac:dyDescent="0.3">
      <c r="B11" t="s">
        <v>147</v>
      </c>
      <c r="C11" t="s">
        <v>148</v>
      </c>
      <c r="D11" s="10" cm="1">
        <f t="array" aca="1" ref="D11" ca="1">_FV(D$1,"52 week high",TRUE)</f>
        <v>344.56990000000002</v>
      </c>
      <c r="E11" s="10" cm="1">
        <f t="array" aca="1" ref="E11" ca="1">_FV(E$1,"52 week high",TRUE)</f>
        <v>365.815</v>
      </c>
      <c r="F11" s="10" cm="1">
        <f t="array" aca="1" ref="F11" ca="1">_FV(F$1,"52 week high",TRUE)</f>
        <v>226.9</v>
      </c>
      <c r="G11" s="10" cm="1">
        <f t="array" aca="1" ref="G11" ca="1">_FV(G$1,"52 week high",TRUE)</f>
        <v>64.704999999999998</v>
      </c>
      <c r="H11" s="10" cm="1">
        <f t="array" aca="1" ref="H11" ca="1">_FV(H$1,"52 week high",TRUE)</f>
        <v>287.2</v>
      </c>
      <c r="I11" s="10" cm="1">
        <f t="array" aca="1" ref="I11" ca="1">_FV(I$1,"52 week high",TRUE)</f>
        <v>109.83</v>
      </c>
      <c r="J11" s="10" t="e" cm="1" vm="188">
        <f t="array" ref="J11">_FV(J$1,"52 week high",TRUE)</f>
        <v>#VALUE!</v>
      </c>
      <c r="K11" s="10" t="e" cm="1" vm="188">
        <f t="array" ref="K11">_FV(K$1,"52 week high",TRUE)</f>
        <v>#VALUE!</v>
      </c>
    </row>
    <row r="12" spans="1:11" x14ac:dyDescent="0.3">
      <c r="B12" t="s">
        <v>149</v>
      </c>
      <c r="C12" t="s">
        <v>150</v>
      </c>
      <c r="D12" s="10" cm="1">
        <f t="array" aca="1" ref="D12" ca="1">_FV(D$1,"52 week low",TRUE)</f>
        <v>223.78039999999999</v>
      </c>
      <c r="E12" s="10" cm="1">
        <f t="array" aca="1" ref="E12" ca="1">_FV(E$1,"52 week low",TRUE)</f>
        <v>279.10000000000002</v>
      </c>
      <c r="F12" s="10" cm="1">
        <f t="array" aca="1" ref="F12" ca="1">_FV(F$1,"52 week low",TRUE)</f>
        <v>85.68</v>
      </c>
      <c r="G12" s="10" cm="1">
        <f t="array" aca="1" ref="G12" ca="1">_FV(G$1,"52 week low",TRUE)</f>
        <v>46.115000000000002</v>
      </c>
      <c r="H12" s="10" cm="1">
        <f t="array" aca="1" ref="H12" ca="1">_FV(H$1,"52 week low",TRUE)</f>
        <v>196</v>
      </c>
      <c r="I12" s="10" cm="1">
        <f t="array" aca="1" ref="I12" ca="1">_FV(I$1,"52 week low",TRUE)</f>
        <v>33.85</v>
      </c>
      <c r="J12" s="10" t="e" cm="1" vm="189">
        <f t="array" ref="J12">_FV(J$1,"52 week low",TRUE)</f>
        <v>#VALUE!</v>
      </c>
      <c r="K12" s="10" t="e" cm="1" vm="189">
        <f t="array" ref="K12">_FV(K$1,"52 week low",TRUE)</f>
        <v>#VALUE!</v>
      </c>
    </row>
    <row r="13" spans="1:11" x14ac:dyDescent="0.3">
      <c r="A13" t="s">
        <v>151</v>
      </c>
      <c r="B13" t="s">
        <v>152</v>
      </c>
      <c r="C13" t="s">
        <v>153</v>
      </c>
      <c r="D13" s="8" cm="1">
        <f t="array" aca="1" ref="D13" ca="1">_FV(D$1,"Volume")</f>
        <v>18362524</v>
      </c>
      <c r="E13" s="8" cm="1">
        <f t="array" aca="1" ref="E13" ca="1">_FV(E$1,"Volume")</f>
        <v>1888989</v>
      </c>
      <c r="F13" s="8" cm="1">
        <f t="array" aca="1" ref="F13" ca="1">_FV(F$1,"Volume")</f>
        <v>2297172</v>
      </c>
      <c r="G13" s="8" cm="1">
        <f t="array" aca="1" ref="G13" ca="1">_FV(G$1,"Volume")</f>
        <v>14746912</v>
      </c>
      <c r="H13" s="8" cm="1">
        <f t="array" aca="1" ref="H13" ca="1">_FV(H$1,"Volume")</f>
        <v>16292706</v>
      </c>
      <c r="I13" s="8" cm="1">
        <f t="array" aca="1" ref="I13" ca="1">_FV(I$1,"Volume")</f>
        <v>14016997</v>
      </c>
      <c r="J13" s="8" t="e" cm="1" vm="190">
        <f t="array" ref="J13">_FV(J$1,"Volume")</f>
        <v>#VALUE!</v>
      </c>
      <c r="K13" s="8" t="e" cm="1" vm="190">
        <f t="array" ref="K13">_FV(K$1,"Volume")</f>
        <v>#VALUE!</v>
      </c>
    </row>
    <row r="14" spans="1:11" x14ac:dyDescent="0.3">
      <c r="B14" t="s">
        <v>154</v>
      </c>
      <c r="C14" t="s">
        <v>155</v>
      </c>
      <c r="D14" t="e" cm="1" vm="191">
        <f t="array" ref="D14">_FV(D$1,"Average volume",TRUE)</f>
        <v>#VALUE!</v>
      </c>
      <c r="E14" t="e" cm="1" vm="191">
        <f t="array" ref="E14">_FV(E$1,"Average volume",TRUE)</f>
        <v>#VALUE!</v>
      </c>
      <c r="F14" t="e" cm="1" vm="191">
        <f t="array" ref="F14">_FV(F$1,"Average volume",TRUE)</f>
        <v>#VALUE!</v>
      </c>
      <c r="G14" t="e" cm="1" vm="191">
        <f t="array" ref="G14">_FV(G$1,"Average volume",TRUE)</f>
        <v>#VALUE!</v>
      </c>
      <c r="H14" t="e" cm="1" vm="191">
        <f t="array" ref="H14">_FV(H$1,"Average volume",TRUE)</f>
        <v>#VALUE!</v>
      </c>
      <c r="I14" t="e" cm="1" vm="191">
        <f t="array" ref="I14">_FV(I$1,"Average volume",TRUE)</f>
        <v>#VALUE!</v>
      </c>
      <c r="J14" t="e" cm="1" vm="191">
        <f t="array" ref="J14">_FV(J$1,"Average volume",TRUE)</f>
        <v>#VALUE!</v>
      </c>
      <c r="K14" t="e" cm="1" vm="191">
        <f t="array" ref="K14">_FV(K$1,"Average volume",TRUE)</f>
        <v>#VALUE!</v>
      </c>
    </row>
    <row r="15" spans="1:11" x14ac:dyDescent="0.3">
      <c r="B15" t="s">
        <v>156</v>
      </c>
      <c r="C15" t="s">
        <v>157</v>
      </c>
      <c r="D15" s="8" cm="1">
        <f t="array" aca="1" ref="D15" ca="1">_FV(D$1,"Shares outstanding",TRUE)</f>
        <v>14594180000</v>
      </c>
      <c r="E15" s="8" cm="1">
        <f t="array" aca="1" ref="E15" ca="1">_FV(E$1,"Shares outstanding",TRUE)</f>
        <v>2658186000</v>
      </c>
      <c r="F15" s="8" cm="1">
        <f t="array" aca="1" ref="F15" ca="1">_FV(F$1,"Shares outstanding",TRUE)</f>
        <v>1018322000</v>
      </c>
      <c r="G15" s="8" cm="1">
        <f t="array" aca="1" ref="G15" ca="1">_FV(G$1,"Shares outstanding",TRUE)</f>
        <v>6992749000</v>
      </c>
      <c r="H15" s="8" cm="1">
        <f t="array" aca="1" ref="H15" ca="1">_FV(H$1,"Shares outstanding",TRUE)</f>
        <v>10786310000</v>
      </c>
      <c r="I15" s="8" t="e" cm="1" vm="192">
        <f t="array" ref="I15">_FV(I$1,"Shares outstanding",TRUE)</f>
        <v>#VALUE!</v>
      </c>
      <c r="J15" s="8" t="e" cm="1" vm="192">
        <f t="array" ref="J15">_FV(J$1,"Shares outstanding",TRUE)</f>
        <v>#VALUE!</v>
      </c>
      <c r="K15" s="8" t="e" cm="1" vm="192">
        <f t="array" ref="K15">_FV(K$1,"Shares outstanding",TRUE)</f>
        <v>#VALUE!</v>
      </c>
    </row>
    <row r="16" spans="1:11" x14ac:dyDescent="0.3">
      <c r="A16" t="s">
        <v>158</v>
      </c>
      <c r="B16" t="s">
        <v>159</v>
      </c>
      <c r="C16" t="s">
        <v>160</v>
      </c>
      <c r="D16" t="str" cm="1">
        <f t="array" aca="1" ref="D16" ca="1">_FV(D$1,"Name")</f>
        <v>APPLE INC.</v>
      </c>
      <c r="E16" t="str" cm="1">
        <f t="array" aca="1" ref="E16" ca="1">_FV(E$1,"Name")</f>
        <v>JPMORGAN CHASE &amp; CO.</v>
      </c>
      <c r="F16" t="str" cm="1">
        <f t="array" aca="1" ref="F16" ca="1">_FV(F$1,"Name")</f>
        <v>CROWDSTRIKE HOLDINGS, INC.</v>
      </c>
      <c r="G16" t="str" cm="1">
        <f t="array" aca="1" ref="G16" ca="1">_FV(G$1,"Name")</f>
        <v>BANK OF AMERICA CORPORATION</v>
      </c>
      <c r="H16" t="str" cm="1">
        <f t="array" aca="1" ref="H16" ca="1">_FV(H$1,"Name")</f>
        <v>AMAZON.COM, INC.</v>
      </c>
      <c r="I16" t="str" cm="1">
        <f t="array" aca="1" ref="I16" ca="1">_FV(I$1,"Name")</f>
        <v>IShares:Silver Trust</v>
      </c>
      <c r="J16" t="e" cm="1" vm="193">
        <f t="array" ref="J16">_FV(J$1,"Name")</f>
        <v>#VALUE!</v>
      </c>
      <c r="K16" t="e" cm="1" vm="193">
        <f t="array" ref="K16">_FV(K$1,"Name")</f>
        <v>#VALUE!</v>
      </c>
    </row>
    <row r="17" spans="2:11" x14ac:dyDescent="0.3">
      <c r="B17" t="s">
        <v>161</v>
      </c>
      <c r="C17" t="s">
        <v>162</v>
      </c>
      <c r="D17" t="str" cm="1">
        <f t="array" aca="1" ref="D17" ca="1">_FV(D$1,"Exchange")</f>
        <v>Nasdaq Stock Market</v>
      </c>
      <c r="E17" t="str" cm="1">
        <f t="array" aca="1" ref="E17" ca="1">_FV(E$1,"Exchange")</f>
        <v>New York Stock Exchange</v>
      </c>
      <c r="F17" t="str" cm="1">
        <f t="array" aca="1" ref="F17" ca="1">_FV(F$1,"Exchange")</f>
        <v>Nasdaq Stock Market</v>
      </c>
      <c r="G17" t="str" cm="1">
        <f t="array" aca="1" ref="G17" ca="1">_FV(G$1,"Exchange")</f>
        <v>New York Stock Exchange</v>
      </c>
      <c r="H17" t="str" cm="1">
        <f t="array" aca="1" ref="H17" ca="1">_FV(H$1,"Exchange")</f>
        <v>Nasdaq Stock Market</v>
      </c>
      <c r="I17" t="str" cm="1">
        <f t="array" aca="1" ref="I17" ca="1">_FV(I$1,"Exchange")</f>
        <v>NYSE Arca</v>
      </c>
      <c r="J17" t="e" cm="1" vm="194">
        <f t="array" ref="J17">_FV(J$1,"Exchange")</f>
        <v>#VALUE!</v>
      </c>
      <c r="K17" t="e" cm="1" vm="194">
        <f t="array" ref="K17">_FV(K$1,"Exchange")</f>
        <v>#VALUE!</v>
      </c>
    </row>
    <row r="18" spans="2:11" ht="409.6" x14ac:dyDescent="0.3">
      <c r="B18" t="s">
        <v>163</v>
      </c>
      <c r="C18" t="s">
        <v>164</v>
      </c>
      <c r="D18" s="4" t="str" cm="1">
        <f t="array" aca="1" ref="D18" ca="1">_FV(D$1,"Description")</f>
        <v>Apple Inc. designs, manufactures and markets smartphones, personal computers, tablets, wearables and accessories, and sells a variety of related services. Its product categories include iPhone, Mac, iPad, Wearables, Home and Accessories. Its services include advertising, AppleCare, cloud services, digital content, and payment services. The Company operates various platforms, including the App Store, that allow customers to discover and download applications and digital content, such as books, music, video, games and podcasts. It also offers digital content through subscription-based services, including Apple Arcade, Apple Fitness+, Apple Music, Apple News+, and Apple TV+. Its wearables include smartwatches, wireless headphones, and spatial computers. Its products include iPhone 16 Pro, iPhone 16, iPhone 15, iPhone 14, iPhone SE, MacBook Air, MacBook Pro, iMac, Mac mini, Mac Studio, Mac Pro, iPad Pro, iPad Air, AirPods, AirPods Pro, AirPods Max, Apple TV, Apple Vision Pro and others.</v>
      </c>
      <c r="E18" s="4" t="str" cm="1">
        <f t="array" aca="1" ref="E18" ca="1">_FV(E$1,"Description")</f>
        <v>JPMorgan Chase &amp; Co. is a financial holding company. The Company is engaged in investment banking, financial services for consumers and small businesses, commercial banking, financial transaction processing and asset management. The Company operates through three segments: Consumer &amp; Community Banking (CCB), Commercial &amp; Investment Bank (CIB), and Asset &amp; Wealth Management (AWM). Its CCB segment offers products and services to consumers and small businesses through bank branches, ATMs, digital and telephone banking. Its CIB segment consists of banking and payments and markets and securities services, and offers a suite of investment banking, lending, payments, market-making, financing, custody and securities products and services to a global base of corporate and institutional clients. AWM segment offers investment and wealth management solutions. It offers multi-asset investment management solutions, retirement products and services, brokerage, custody, estate planning, and others.</v>
      </c>
      <c r="F18" s="4" t="str" cm="1">
        <f t="array" aca="1" ref="F18" ca="1">_FV(F$1,"Description")</f>
        <v>CrowdStrike Holdings, Inc. is a global cybersecurity company. The Company provides a cloud-native platform for protecting critical areas of enterprise risk - endpoints and cloud workloads, identity, and data. The Company's artificial intelligence (AI)-native CrowdStrike Falcon platform is a cloud-native unified platform built with AI at the core, capable of harnessing security and enterprise data to deliver highly modular solutions through a single lightweight sensor. Using cloud-scale AI, its Security Cloud enriches and correlates cybersecurity events with indicators of attack, threat intelligence, and enterprise data (including data from across endpoints, workloads, identities, DevOps, IT assets, and configurations) to create actionable data, identify shifts in adversary tactics, and automatically prevent threats in real-time across its customer base. It sells its Falcon platform via a partner-first subscription model to organizations of all sizes across multiple industries globally.</v>
      </c>
      <c r="G18" s="4" t="str" cm="1">
        <f t="array" aca="1" ref="G18" ca="1">_FV(G$1,"Description")</f>
        <v>Bank of America Corporation is a bank holding company and a financial holding company. Its segments include Consumer Banking, Global Wealth &amp; Investment Management (GWIM), Global Banking and Global Markets. Consumer Banking segment offers a range of credit, banking and investment products and services to consumers and small businesses. The GWIM includes two businesses: Merrill Wealth Management, which provides tailored solutions to meet clients' needs through a full set of investment management, brokerage, banking and retirement products and Bank of America Private Bank, which provides comprehensive wealth management solutions. Global Banking segment provides a range of lending-related products and services, integrated working capital management and treasury solutions, and underwriting and advisory services. Global Markets segment offers sales and trading services and research services to institutional clients across fixed-income, credit, currency, commodity, and equity businesses.</v>
      </c>
      <c r="H18" s="4" t="str" cm="1">
        <f t="array" aca="1" ref="H18" ca="1">_FV(H$1,"Description")</f>
        <v>Amazon.com, Inc. offers a variety of products and services to customers. The products offered through its stores include merchandise and content it has purchased for resale and products offered by third-party sellers. The Company's segments include North America, International, and Amazon Web Services (AWS). It serves consumers through its online and physical stores and focuses on selection, price, and convenience. Customers access its offerings through its websites, mobile apps, Alexa, devices, streaming, and physically visiting its stores. It also manufactures and sells electronic devices, including Kindle, Fire tablet, Fire TV, Echo, Ring, Blink, and eero, and develops and produces media content. It serves developers and enterprises of all sizes, including start-ups, government agencies, and academic institutions, through AWS, which offers a set of on-demand technology services, including compute, storage, database, analytics, and machine learning, and other services.</v>
      </c>
      <c r="I18" s="4" t="e" cm="1" vm="195">
        <f t="array" ref="I18">_FV(I$1,"Description")</f>
        <v>#VALUE!</v>
      </c>
      <c r="J18" s="4" t="e" cm="1" vm="195">
        <f t="array" ref="J18">_FV(J$1,"Description")</f>
        <v>#VALUE!</v>
      </c>
      <c r="K18" s="4" t="e" cm="1" vm="195">
        <f t="array" ref="K18">_FV(K$1,"Description")</f>
        <v>#VALUE!</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8ACF3-960C-43B2-ADE7-F3C50CA0A4CA}">
  <dimension ref="A1:G9"/>
  <sheetViews>
    <sheetView workbookViewId="0"/>
  </sheetViews>
  <sheetFormatPr defaultRowHeight="14.4" x14ac:dyDescent="0.3"/>
  <cols>
    <col min="3" max="3" width="17.77734375" customWidth="1"/>
    <col min="6" max="6" width="11.33203125" customWidth="1"/>
    <col min="7" max="7" width="9.5546875" bestFit="1" customWidth="1"/>
  </cols>
  <sheetData>
    <row r="1" spans="1:7" x14ac:dyDescent="0.3">
      <c r="A1" t="s">
        <v>84</v>
      </c>
      <c r="B1" t="s">
        <v>0</v>
      </c>
      <c r="C1" t="s">
        <v>85</v>
      </c>
      <c r="D1" t="s">
        <v>86</v>
      </c>
      <c r="F1" t="s">
        <v>87</v>
      </c>
      <c r="G1" s="1">
        <f ca="1">TODAY()</f>
        <v>46247</v>
      </c>
    </row>
    <row r="2" spans="1:7" x14ac:dyDescent="0.3">
      <c r="A2" t="s">
        <v>12</v>
      </c>
      <c r="B2" t="s">
        <v>3322</v>
      </c>
      <c r="C2" s="7">
        <v>46009</v>
      </c>
      <c r="D2">
        <v>225.57079999999999</v>
      </c>
    </row>
    <row r="3" spans="1:7" x14ac:dyDescent="0.3">
      <c r="A3" t="s">
        <v>14</v>
      </c>
      <c r="B3" t="s">
        <v>3322</v>
      </c>
      <c r="C3" s="7">
        <v>46014</v>
      </c>
      <c r="D3">
        <v>482.49</v>
      </c>
    </row>
    <row r="4" spans="1:7" x14ac:dyDescent="0.3">
      <c r="A4" t="s">
        <v>13</v>
      </c>
      <c r="B4" t="s">
        <v>3322</v>
      </c>
      <c r="C4" s="7">
        <v>46020</v>
      </c>
      <c r="D4">
        <v>187.74</v>
      </c>
    </row>
    <row r="5" spans="1:7" x14ac:dyDescent="0.3">
      <c r="A5" t="s">
        <v>12</v>
      </c>
      <c r="B5" t="s">
        <v>3324</v>
      </c>
      <c r="C5" s="7">
        <v>46027</v>
      </c>
      <c r="D5">
        <v>228.63</v>
      </c>
    </row>
    <row r="6" spans="1:7" x14ac:dyDescent="0.3">
      <c r="A6" t="s">
        <v>13</v>
      </c>
      <c r="B6" t="s">
        <v>3324</v>
      </c>
      <c r="C6" s="7">
        <v>46027</v>
      </c>
      <c r="D6">
        <v>191.7</v>
      </c>
    </row>
    <row r="7" spans="1:7" x14ac:dyDescent="0.3">
      <c r="A7" t="s">
        <v>98</v>
      </c>
      <c r="B7" t="s">
        <v>3322</v>
      </c>
      <c r="C7" s="7">
        <v>46028</v>
      </c>
      <c r="D7">
        <v>332.45600000000002</v>
      </c>
    </row>
    <row r="8" spans="1:7" x14ac:dyDescent="0.3">
      <c r="A8" t="s">
        <v>3323</v>
      </c>
      <c r="B8" t="s">
        <v>3322</v>
      </c>
      <c r="C8" s="7">
        <v>46031</v>
      </c>
      <c r="D8">
        <v>71.31</v>
      </c>
    </row>
    <row r="9" spans="1:7" x14ac:dyDescent="0.3">
      <c r="A9" t="s">
        <v>98</v>
      </c>
      <c r="B9" t="s">
        <v>3322</v>
      </c>
      <c r="C9" s="7">
        <v>46035</v>
      </c>
      <c r="D9">
        <v>323.68</v>
      </c>
    </row>
  </sheetData>
  <autoFilter ref="A1:D9" xr:uid="{5878ACF3-960C-43B2-ADE7-F3C50CA0A4CA}">
    <sortState xmlns:xlrd2="http://schemas.microsoft.com/office/spreadsheetml/2017/richdata2" ref="A2:D9">
      <sortCondition ref="C1:C9"/>
    </sortState>
  </autoFilter>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A388F-8B9B-4FBD-B82C-09684B99D8FC}">
  <dimension ref="A1:C51"/>
  <sheetViews>
    <sheetView workbookViewId="0"/>
  </sheetViews>
  <sheetFormatPr defaultRowHeight="14.4" x14ac:dyDescent="0.3"/>
  <cols>
    <col min="1" max="1" width="21.6640625" bestFit="1" customWidth="1"/>
    <col min="2" max="2" width="16.6640625" bestFit="1" customWidth="1"/>
    <col min="3" max="3" width="20.44140625" bestFit="1" customWidth="1"/>
  </cols>
  <sheetData>
    <row r="1" spans="1:3" x14ac:dyDescent="0.3">
      <c r="A1" t="s">
        <v>16</v>
      </c>
      <c r="B1" t="s">
        <v>17</v>
      </c>
      <c r="C1" t="s">
        <v>18</v>
      </c>
    </row>
    <row r="2" spans="1:3" x14ac:dyDescent="0.3">
      <c r="A2" t="s">
        <v>19</v>
      </c>
      <c r="B2">
        <v>1429.159594</v>
      </c>
      <c r="C2">
        <v>6.9999999999999999E-4</v>
      </c>
    </row>
    <row r="3" spans="1:3" x14ac:dyDescent="0.3">
      <c r="A3" t="s">
        <v>20</v>
      </c>
      <c r="B3">
        <v>1.4599420000000001</v>
      </c>
      <c r="C3">
        <v>0.68495899999999998</v>
      </c>
    </row>
    <row r="4" spans="1:3" x14ac:dyDescent="0.3">
      <c r="A4" t="s">
        <v>21</v>
      </c>
      <c r="B4">
        <v>0.376</v>
      </c>
      <c r="C4">
        <v>2.6595740000000001</v>
      </c>
    </row>
    <row r="5" spans="1:3" x14ac:dyDescent="0.3">
      <c r="A5" t="s">
        <v>22</v>
      </c>
      <c r="B5">
        <v>13.411372999999999</v>
      </c>
      <c r="C5">
        <v>7.4564000000000005E-2</v>
      </c>
    </row>
    <row r="6" spans="1:3" x14ac:dyDescent="0.3">
      <c r="A6" t="s">
        <v>23</v>
      </c>
      <c r="B6">
        <v>5.2847910000000002</v>
      </c>
      <c r="C6">
        <v>0.189222</v>
      </c>
    </row>
    <row r="7" spans="1:3" x14ac:dyDescent="0.3">
      <c r="A7" t="s">
        <v>24</v>
      </c>
      <c r="B7">
        <v>0.741344</v>
      </c>
      <c r="C7">
        <v>1.348902</v>
      </c>
    </row>
    <row r="8" spans="1:3" x14ac:dyDescent="0.3">
      <c r="A8" t="s">
        <v>25</v>
      </c>
      <c r="B8">
        <v>1.279604</v>
      </c>
      <c r="C8">
        <v>0.78149199999999996</v>
      </c>
    </row>
    <row r="9" spans="1:3" x14ac:dyDescent="0.3">
      <c r="A9" t="s">
        <v>26</v>
      </c>
      <c r="B9">
        <v>1.3790579999999999</v>
      </c>
      <c r="C9">
        <v>0.72513300000000003</v>
      </c>
    </row>
    <row r="10" spans="1:3" x14ac:dyDescent="0.3">
      <c r="A10" t="s">
        <v>27</v>
      </c>
      <c r="B10">
        <v>871.72822199999996</v>
      </c>
      <c r="C10">
        <v>1.147E-3</v>
      </c>
    </row>
    <row r="11" spans="1:3" x14ac:dyDescent="0.3">
      <c r="A11" t="s">
        <v>28</v>
      </c>
      <c r="B11">
        <v>6.9634</v>
      </c>
      <c r="C11">
        <v>0.14360800000000001</v>
      </c>
    </row>
    <row r="12" spans="1:3" x14ac:dyDescent="0.3">
      <c r="A12" t="s">
        <v>29</v>
      </c>
      <c r="B12">
        <v>3604.569892</v>
      </c>
      <c r="C12">
        <v>2.7700000000000001E-4</v>
      </c>
    </row>
    <row r="13" spans="1:3" x14ac:dyDescent="0.3">
      <c r="A13" t="s">
        <v>30</v>
      </c>
      <c r="B13">
        <v>20.667338000000001</v>
      </c>
      <c r="C13">
        <v>4.8385999999999998E-2</v>
      </c>
    </row>
    <row r="14" spans="1:3" x14ac:dyDescent="0.3">
      <c r="A14" t="s">
        <v>31</v>
      </c>
      <c r="B14">
        <v>6.3623320000000003</v>
      </c>
      <c r="C14">
        <v>0.15717500000000001</v>
      </c>
    </row>
    <row r="15" spans="1:3" x14ac:dyDescent="0.3">
      <c r="A15" t="s">
        <v>32</v>
      </c>
      <c r="B15">
        <v>3.6724999999999999</v>
      </c>
      <c r="C15">
        <v>0.27229399999999998</v>
      </c>
    </row>
    <row r="16" spans="1:3" x14ac:dyDescent="0.3">
      <c r="A16" t="s">
        <v>33</v>
      </c>
      <c r="B16">
        <v>0.85182500000000005</v>
      </c>
      <c r="C16">
        <v>1.1739489999999999</v>
      </c>
    </row>
    <row r="17" spans="1:3" x14ac:dyDescent="0.3">
      <c r="A17" t="s">
        <v>34</v>
      </c>
      <c r="B17">
        <v>7.7983520000000004</v>
      </c>
      <c r="C17">
        <v>0.12823200000000001</v>
      </c>
    </row>
    <row r="18" spans="1:3" x14ac:dyDescent="0.3">
      <c r="A18" t="s">
        <v>35</v>
      </c>
      <c r="B18">
        <v>325.64152300000001</v>
      </c>
      <c r="C18">
        <v>3.0709999999999999E-3</v>
      </c>
    </row>
    <row r="19" spans="1:3" x14ac:dyDescent="0.3">
      <c r="A19" t="s">
        <v>36</v>
      </c>
      <c r="B19">
        <v>124.363052</v>
      </c>
      <c r="C19">
        <v>8.0409999999999995E-3</v>
      </c>
    </row>
    <row r="20" spans="1:3" x14ac:dyDescent="0.3">
      <c r="A20" t="s">
        <v>37</v>
      </c>
      <c r="B20">
        <v>91.663014000000004</v>
      </c>
      <c r="C20">
        <v>1.091E-2</v>
      </c>
    </row>
    <row r="21" spans="1:3" x14ac:dyDescent="0.3">
      <c r="A21" t="s">
        <v>38</v>
      </c>
      <c r="B21">
        <v>16839.698605000001</v>
      </c>
      <c r="C21">
        <v>5.8999999999999998E-5</v>
      </c>
    </row>
    <row r="22" spans="1:3" x14ac:dyDescent="0.3">
      <c r="A22" t="s">
        <v>39</v>
      </c>
      <c r="B22">
        <v>1075224.4330899999</v>
      </c>
      <c r="C22">
        <v>9.9999999999999995E-7</v>
      </c>
    </row>
    <row r="23" spans="1:3" x14ac:dyDescent="0.3">
      <c r="A23" t="s">
        <v>40</v>
      </c>
      <c r="B23">
        <v>3.1302059999999998</v>
      </c>
      <c r="C23">
        <v>0.31946799999999997</v>
      </c>
    </row>
    <row r="24" spans="1:3" x14ac:dyDescent="0.3">
      <c r="A24" t="s">
        <v>41</v>
      </c>
      <c r="B24">
        <v>159.05367799999999</v>
      </c>
      <c r="C24">
        <v>6.2870000000000001E-3</v>
      </c>
    </row>
    <row r="25" spans="1:3" x14ac:dyDescent="0.3">
      <c r="A25" t="s">
        <v>42</v>
      </c>
      <c r="B25">
        <v>503.85141800000002</v>
      </c>
      <c r="C25">
        <v>1.9849999999999998E-3</v>
      </c>
    </row>
    <row r="26" spans="1:3" x14ac:dyDescent="0.3">
      <c r="A26" t="s">
        <v>43</v>
      </c>
      <c r="B26">
        <v>0.30726100000000001</v>
      </c>
      <c r="C26">
        <v>3.2545600000000001</v>
      </c>
    </row>
    <row r="27" spans="1:3" x14ac:dyDescent="0.3">
      <c r="A27" t="s">
        <v>44</v>
      </c>
      <c r="B27">
        <v>6.2798259999999999</v>
      </c>
      <c r="C27">
        <v>0.15923999999999999</v>
      </c>
    </row>
    <row r="28" spans="1:3" x14ac:dyDescent="0.3">
      <c r="A28" t="s">
        <v>45</v>
      </c>
      <c r="B28">
        <v>4.0045869999999999</v>
      </c>
      <c r="C28">
        <v>0.24971399999999999</v>
      </c>
    </row>
    <row r="29" spans="1:3" x14ac:dyDescent="0.3">
      <c r="A29" t="s">
        <v>46</v>
      </c>
      <c r="B29">
        <v>45.965623000000001</v>
      </c>
      <c r="C29">
        <v>2.1755E-2</v>
      </c>
    </row>
    <row r="30" spans="1:3" x14ac:dyDescent="0.3">
      <c r="A30" t="s">
        <v>47</v>
      </c>
      <c r="B30">
        <v>17.446100999999999</v>
      </c>
      <c r="C30">
        <v>5.7319000000000002E-2</v>
      </c>
    </row>
    <row r="31" spans="1:3" x14ac:dyDescent="0.3">
      <c r="A31" t="s">
        <v>48</v>
      </c>
      <c r="B31">
        <v>146.729569</v>
      </c>
      <c r="C31">
        <v>6.8149999999999999E-3</v>
      </c>
    </row>
    <row r="32" spans="1:3" x14ac:dyDescent="0.3">
      <c r="A32" t="s">
        <v>49</v>
      </c>
      <c r="B32">
        <v>1.693012</v>
      </c>
      <c r="C32">
        <v>0.59066300000000005</v>
      </c>
    </row>
    <row r="33" spans="1:3" x14ac:dyDescent="0.3">
      <c r="A33" t="s">
        <v>50</v>
      </c>
      <c r="B33">
        <v>9.8499320000000008</v>
      </c>
      <c r="C33">
        <v>0.101524</v>
      </c>
    </row>
    <row r="34" spans="1:3" x14ac:dyDescent="0.3">
      <c r="A34" t="s">
        <v>51</v>
      </c>
      <c r="B34">
        <v>0.38470199999999999</v>
      </c>
      <c r="C34">
        <v>2.599415</v>
      </c>
    </row>
    <row r="35" spans="1:3" x14ac:dyDescent="0.3">
      <c r="A35" t="s">
        <v>52</v>
      </c>
      <c r="B35">
        <v>279.56262199999998</v>
      </c>
      <c r="C35">
        <v>3.5769999999999999E-3</v>
      </c>
    </row>
    <row r="36" spans="1:3" x14ac:dyDescent="0.3">
      <c r="A36" t="s">
        <v>53</v>
      </c>
      <c r="B36">
        <v>59.066021999999997</v>
      </c>
      <c r="C36">
        <v>1.6930000000000001E-2</v>
      </c>
    </row>
    <row r="37" spans="1:3" x14ac:dyDescent="0.3">
      <c r="A37" t="s">
        <v>54</v>
      </c>
      <c r="B37">
        <v>3.5795880000000002</v>
      </c>
      <c r="C37">
        <v>0.279362</v>
      </c>
    </row>
    <row r="38" spans="1:3" x14ac:dyDescent="0.3">
      <c r="A38" t="s">
        <v>55</v>
      </c>
      <c r="B38">
        <v>3.64</v>
      </c>
      <c r="C38">
        <v>0.274725</v>
      </c>
    </row>
    <row r="39" spans="1:3" x14ac:dyDescent="0.3">
      <c r="A39" t="s">
        <v>56</v>
      </c>
      <c r="B39">
        <v>4.3373949999999999</v>
      </c>
      <c r="C39">
        <v>0.23055300000000001</v>
      </c>
    </row>
    <row r="40" spans="1:3" x14ac:dyDescent="0.3">
      <c r="A40" t="s">
        <v>57</v>
      </c>
      <c r="B40">
        <v>75.694895000000002</v>
      </c>
      <c r="C40">
        <v>1.3211000000000001E-2</v>
      </c>
    </row>
    <row r="41" spans="1:3" x14ac:dyDescent="0.3">
      <c r="A41" t="s">
        <v>58</v>
      </c>
      <c r="B41">
        <v>3.75</v>
      </c>
      <c r="C41">
        <v>0.26666699999999999</v>
      </c>
    </row>
    <row r="42" spans="1:3" x14ac:dyDescent="0.3">
      <c r="A42" t="s">
        <v>59</v>
      </c>
      <c r="B42">
        <v>1.279604</v>
      </c>
      <c r="C42">
        <v>0.78149199999999996</v>
      </c>
    </row>
    <row r="43" spans="1:3" x14ac:dyDescent="0.3">
      <c r="A43" t="s">
        <v>60</v>
      </c>
      <c r="B43">
        <v>16.108552</v>
      </c>
      <c r="C43">
        <v>6.2079000000000002E-2</v>
      </c>
    </row>
    <row r="44" spans="1:3" x14ac:dyDescent="0.3">
      <c r="A44" t="s">
        <v>61</v>
      </c>
      <c r="B44">
        <v>1467.9482840000001</v>
      </c>
      <c r="C44">
        <v>6.8099999999999996E-4</v>
      </c>
    </row>
    <row r="45" spans="1:3" x14ac:dyDescent="0.3">
      <c r="A45" t="s">
        <v>62</v>
      </c>
      <c r="B45">
        <v>309.36623900000001</v>
      </c>
      <c r="C45">
        <v>3.2320000000000001E-3</v>
      </c>
    </row>
    <row r="46" spans="1:3" x14ac:dyDescent="0.3">
      <c r="A46" t="s">
        <v>63</v>
      </c>
      <c r="B46">
        <v>9.0099610000000006</v>
      </c>
      <c r="C46">
        <v>0.110988</v>
      </c>
    </row>
    <row r="47" spans="1:3" x14ac:dyDescent="0.3">
      <c r="A47" t="s">
        <v>64</v>
      </c>
      <c r="B47">
        <v>0.79072500000000001</v>
      </c>
      <c r="C47">
        <v>1.264662</v>
      </c>
    </row>
    <row r="48" spans="1:3" x14ac:dyDescent="0.3">
      <c r="A48" t="s">
        <v>65</v>
      </c>
      <c r="B48">
        <v>31.569106000000001</v>
      </c>
      <c r="C48">
        <v>3.1676999999999997E-2</v>
      </c>
    </row>
    <row r="49" spans="1:3" x14ac:dyDescent="0.3">
      <c r="A49" t="s">
        <v>66</v>
      </c>
      <c r="B49">
        <v>31.199202</v>
      </c>
      <c r="C49">
        <v>3.2051999999999997E-2</v>
      </c>
    </row>
    <row r="50" spans="1:3" x14ac:dyDescent="0.3">
      <c r="A50" t="s">
        <v>67</v>
      </c>
      <c r="B50">
        <v>6.7802930000000003</v>
      </c>
      <c r="C50">
        <v>0.14748600000000001</v>
      </c>
    </row>
    <row r="51" spans="1:3" x14ac:dyDescent="0.3">
      <c r="A51" t="s">
        <v>68</v>
      </c>
      <c r="B51">
        <v>43.313468999999998</v>
      </c>
      <c r="C51">
        <v>2.3088000000000001E-2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F3AD923-BF1A-44FD-BD4A-F3C33E8FE2A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Portfolio</vt:lpstr>
      <vt:lpstr>Focus list</vt:lpstr>
      <vt:lpstr>TTB focus</vt:lpstr>
      <vt:lpstr>JPM hist. focus 2</vt:lpstr>
      <vt:lpstr>AMZN hist. focus 2</vt:lpstr>
      <vt:lpstr>CRWD SA</vt:lpstr>
      <vt:lpstr>JPM SA</vt:lpstr>
      <vt:lpstr>JPM SA (Graph)</vt:lpstr>
      <vt:lpstr>EVENT</vt:lpstr>
      <vt:lpstr>EVENT link</vt:lpstr>
      <vt:lpstr>BAC SA</vt:lpstr>
      <vt:lpstr>NVDA SA</vt:lpstr>
      <vt:lpstr>AMZN SA</vt:lpstr>
      <vt:lpstr>USA Stock current detail</vt:lpstr>
      <vt:lpstr>log Sell and Buy</vt:lpstr>
      <vt:lpstr>currency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Teetawat Chomparn</dc:creator>
  <cp:lastModifiedBy>Teetawat Chomparn</cp:lastModifiedBy>
  <dcterms:created xsi:type="dcterms:W3CDTF">2015-06-05T18:17:20Z</dcterms:created>
  <dcterms:modified xsi:type="dcterms:W3CDTF">2026-08-12T17:21:15Z</dcterms:modified>
</cp:coreProperties>
</file>